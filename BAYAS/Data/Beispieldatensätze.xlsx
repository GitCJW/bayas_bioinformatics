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C:\Users\Lena\Desktop\"/>
    </mc:Choice>
  </mc:AlternateContent>
  <xr:revisionPtr revIDLastSave="0" documentId="13_ncr:1_{6576EF01-7FCA-41F5-B166-6D3F3B73A47F}" xr6:coauthVersionLast="47" xr6:coauthVersionMax="47" xr10:uidLastSave="{00000000-0000-0000-0000-000000000000}"/>
  <bookViews>
    <workbookView xWindow="-120" yWindow="-120" windowWidth="29040" windowHeight="15840" activeTab="1" xr2:uid="{35834606-C4F6-427E-9B6B-24BC629339FD}"/>
  </bookViews>
  <sheets>
    <sheet name="Ashcroft" sheetId="1" r:id="rId1"/>
    <sheet name="qPCR" sheetId="2" r:id="rId2"/>
    <sheet name="WB" sheetId="3" r:id="rId3"/>
    <sheet name="FACS" sheetId="4" r:id="rId4"/>
    <sheet name="CT" sheetId="5" r:id="rId5"/>
    <sheet name="O2" sheetId="6"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Q26" i="3" l="1"/>
  <c r="C46" i="4"/>
  <c r="C41" i="4"/>
  <c r="C35" i="4"/>
  <c r="C30" i="4"/>
  <c r="S44" i="3"/>
  <c r="S45" i="3"/>
  <c r="S46" i="3"/>
  <c r="S47" i="3"/>
  <c r="S48" i="3"/>
  <c r="S49" i="3"/>
  <c r="S50" i="3"/>
  <c r="S51" i="3"/>
  <c r="S43" i="3"/>
  <c r="S27" i="3"/>
  <c r="S28" i="3"/>
  <c r="S29" i="3"/>
  <c r="S30" i="3"/>
  <c r="S31" i="3"/>
  <c r="S32" i="3"/>
  <c r="S33" i="3"/>
  <c r="S34" i="3"/>
  <c r="S35" i="3"/>
  <c r="S36" i="3"/>
  <c r="S37" i="3"/>
  <c r="S38" i="3"/>
  <c r="S26" i="3"/>
  <c r="O51" i="3"/>
  <c r="M51" i="3"/>
  <c r="K51" i="3"/>
  <c r="G51" i="3"/>
  <c r="Q51" i="3" s="1"/>
  <c r="E51" i="3"/>
  <c r="C51" i="3"/>
  <c r="O50" i="3"/>
  <c r="M50" i="3"/>
  <c r="K50" i="3"/>
  <c r="G50" i="3"/>
  <c r="Q50" i="3" s="1"/>
  <c r="E50" i="3"/>
  <c r="C50" i="3"/>
  <c r="O49" i="3"/>
  <c r="M49" i="3"/>
  <c r="K49" i="3"/>
  <c r="G49" i="3"/>
  <c r="Q49" i="3" s="1"/>
  <c r="E49" i="3"/>
  <c r="C49" i="3"/>
  <c r="O48" i="3"/>
  <c r="M48" i="3"/>
  <c r="K48" i="3"/>
  <c r="G48" i="3"/>
  <c r="Q48" i="3" s="1"/>
  <c r="E48" i="3"/>
  <c r="C48" i="3"/>
  <c r="O47" i="3"/>
  <c r="M47" i="3"/>
  <c r="K47" i="3"/>
  <c r="G47" i="3"/>
  <c r="Q47" i="3" s="1"/>
  <c r="E47" i="3"/>
  <c r="C47" i="3"/>
  <c r="O46" i="3"/>
  <c r="M46" i="3"/>
  <c r="K46" i="3"/>
  <c r="G46" i="3"/>
  <c r="Q46" i="3" s="1"/>
  <c r="E46" i="3"/>
  <c r="C46" i="3"/>
  <c r="O45" i="3"/>
  <c r="M45" i="3"/>
  <c r="K45" i="3"/>
  <c r="G45" i="3"/>
  <c r="Q45" i="3" s="1"/>
  <c r="E45" i="3"/>
  <c r="C45" i="3"/>
  <c r="O44" i="3"/>
  <c r="M44" i="3"/>
  <c r="K44" i="3"/>
  <c r="G44" i="3"/>
  <c r="Q44" i="3" s="1"/>
  <c r="E44" i="3"/>
  <c r="C44" i="3"/>
  <c r="T43" i="3"/>
  <c r="Q43" i="3"/>
  <c r="O43" i="3"/>
  <c r="M43" i="3"/>
  <c r="K43" i="3"/>
  <c r="G43" i="3"/>
  <c r="E43" i="3"/>
  <c r="C43" i="3"/>
  <c r="Q38" i="3"/>
  <c r="O38" i="3"/>
  <c r="M38" i="3"/>
  <c r="K38" i="3"/>
  <c r="G38" i="3"/>
  <c r="E38" i="3"/>
  <c r="C38" i="3"/>
  <c r="Q37" i="3"/>
  <c r="O37" i="3"/>
  <c r="M37" i="3"/>
  <c r="K37" i="3"/>
  <c r="G37" i="3"/>
  <c r="E37" i="3"/>
  <c r="C37" i="3"/>
  <c r="Q36" i="3"/>
  <c r="O36" i="3"/>
  <c r="M36" i="3"/>
  <c r="K36" i="3"/>
  <c r="G36" i="3"/>
  <c r="E36" i="3"/>
  <c r="C36" i="3"/>
  <c r="Q35" i="3"/>
  <c r="O35" i="3"/>
  <c r="M35" i="3"/>
  <c r="K35" i="3"/>
  <c r="G35" i="3"/>
  <c r="E35" i="3"/>
  <c r="C35" i="3"/>
  <c r="O34" i="3"/>
  <c r="Q34" i="3" s="1"/>
  <c r="M34" i="3"/>
  <c r="K34" i="3"/>
  <c r="G34" i="3"/>
  <c r="E34" i="3"/>
  <c r="C34" i="3"/>
  <c r="O33" i="3"/>
  <c r="Q33" i="3" s="1"/>
  <c r="M33" i="3"/>
  <c r="K33" i="3"/>
  <c r="G33" i="3"/>
  <c r="E33" i="3"/>
  <c r="C33" i="3"/>
  <c r="O32" i="3"/>
  <c r="Q32" i="3" s="1"/>
  <c r="M32" i="3"/>
  <c r="K32" i="3"/>
  <c r="G32" i="3"/>
  <c r="E32" i="3"/>
  <c r="C32" i="3"/>
  <c r="O31" i="3"/>
  <c r="Q31" i="3" s="1"/>
  <c r="M31" i="3"/>
  <c r="K31" i="3"/>
  <c r="G31" i="3"/>
  <c r="E31" i="3"/>
  <c r="C31" i="3"/>
  <c r="O30" i="3"/>
  <c r="M30" i="3"/>
  <c r="K30" i="3"/>
  <c r="G30" i="3"/>
  <c r="Q30" i="3" s="1"/>
  <c r="E30" i="3"/>
  <c r="C30" i="3"/>
  <c r="O29" i="3"/>
  <c r="M29" i="3"/>
  <c r="K29" i="3"/>
  <c r="G29" i="3"/>
  <c r="Q29" i="3" s="1"/>
  <c r="E29" i="3"/>
  <c r="C29" i="3"/>
  <c r="O28" i="3"/>
  <c r="M28" i="3"/>
  <c r="K28" i="3"/>
  <c r="G28" i="3"/>
  <c r="Q28" i="3" s="1"/>
  <c r="E28" i="3"/>
  <c r="C28" i="3"/>
  <c r="O27" i="3"/>
  <c r="M27" i="3"/>
  <c r="K27" i="3"/>
  <c r="G27" i="3"/>
  <c r="Q27" i="3" s="1"/>
  <c r="E27" i="3"/>
  <c r="C27" i="3"/>
  <c r="O26" i="3"/>
  <c r="M26" i="3"/>
  <c r="K26" i="3"/>
  <c r="G26" i="3"/>
  <c r="E26" i="3"/>
  <c r="C26" i="3"/>
  <c r="T47" i="3" l="1"/>
  <c r="T34" i="3"/>
  <c r="T30" i="3"/>
  <c r="T26" i="3"/>
  <c r="R26" i="3"/>
  <c r="R43" i="3"/>
  <c r="H67" i="2" l="1"/>
  <c r="H64" i="2"/>
  <c r="H61" i="2"/>
  <c r="H58" i="2"/>
  <c r="H55" i="2"/>
  <c r="H52" i="2"/>
  <c r="H49" i="2"/>
  <c r="H46" i="2"/>
  <c r="H43" i="2"/>
  <c r="K43" i="2" s="1"/>
  <c r="L43" i="2" s="1"/>
  <c r="H40" i="2"/>
  <c r="H37" i="2"/>
  <c r="H34" i="2"/>
  <c r="H31" i="2"/>
  <c r="K31" i="2" s="1"/>
  <c r="L31" i="2" s="1"/>
  <c r="H28" i="2"/>
  <c r="H25" i="2"/>
  <c r="C67" i="2"/>
  <c r="C64" i="2"/>
  <c r="K64" i="2" s="1"/>
  <c r="L64" i="2" s="1"/>
  <c r="C61" i="2"/>
  <c r="C58" i="2"/>
  <c r="C55" i="2"/>
  <c r="C52" i="2"/>
  <c r="K52" i="2" s="1"/>
  <c r="L52" i="2" s="1"/>
  <c r="C49" i="2"/>
  <c r="C46" i="2"/>
  <c r="C43" i="2"/>
  <c r="C40" i="2"/>
  <c r="K40" i="2" s="1"/>
  <c r="L40" i="2" s="1"/>
  <c r="C37" i="2"/>
  <c r="C34" i="2"/>
  <c r="C31" i="2"/>
  <c r="C28" i="2"/>
  <c r="K28" i="2" s="1"/>
  <c r="L28" i="2" s="1"/>
  <c r="C25" i="2"/>
  <c r="K25" i="2" l="1"/>
  <c r="L25" i="2" s="1"/>
  <c r="K37" i="2"/>
  <c r="L37" i="2" s="1"/>
  <c r="M37" i="2" s="1"/>
  <c r="K49" i="2"/>
  <c r="L49" i="2" s="1"/>
  <c r="K61" i="2"/>
  <c r="L61" i="2" s="1"/>
  <c r="I55" i="2"/>
  <c r="K67" i="2"/>
  <c r="L67" i="2" s="1"/>
  <c r="K34" i="2"/>
  <c r="L34" i="2" s="1"/>
  <c r="K46" i="2"/>
  <c r="L46" i="2" s="1"/>
  <c r="M46" i="2" s="1"/>
  <c r="K58" i="2"/>
  <c r="L58" i="2" s="1"/>
  <c r="K55" i="2"/>
  <c r="L55" i="2" s="1"/>
  <c r="D25" i="2"/>
  <c r="D55" i="2"/>
  <c r="I25" i="2"/>
  <c r="D37" i="2"/>
  <c r="I37" i="2"/>
  <c r="I46" i="2"/>
  <c r="D46" i="2"/>
  <c r="M55" i="2" l="1"/>
  <c r="M25" i="2"/>
  <c r="G23" i="5" l="1"/>
  <c r="G24" i="5"/>
  <c r="G25" i="5"/>
  <c r="G26" i="5"/>
  <c r="G27" i="5"/>
  <c r="G28" i="5"/>
  <c r="G29" i="5"/>
  <c r="G30" i="5"/>
  <c r="G31" i="5"/>
  <c r="G32" i="5"/>
  <c r="G33" i="5"/>
  <c r="G34" i="5"/>
  <c r="G35" i="5"/>
  <c r="G36" i="5"/>
  <c r="G37" i="5"/>
  <c r="G38" i="5"/>
  <c r="G40" i="5"/>
  <c r="G39" i="5"/>
  <c r="H27" i="5" l="1"/>
  <c r="H31" i="5"/>
  <c r="H23" i="5"/>
  <c r="I23" i="5" s="1"/>
  <c r="H37" i="5"/>
  <c r="I37" i="5" s="1"/>
  <c r="C34" i="6"/>
  <c r="C29" i="6"/>
  <c r="C24" i="6"/>
  <c r="C19" i="6"/>
  <c r="I27" i="5" l="1"/>
  <c r="I31" i="5"/>
</calcChain>
</file>

<file path=xl/sharedStrings.xml><?xml version="1.0" encoding="utf-8"?>
<sst xmlns="http://schemas.openxmlformats.org/spreadsheetml/2006/main" count="460" uniqueCount="126">
  <si>
    <t>qPCR</t>
  </si>
  <si>
    <t>Durchflusszytometrie</t>
  </si>
  <si>
    <t>Methode:</t>
  </si>
  <si>
    <t>Beispieldatensatz:</t>
  </si>
  <si>
    <t>MW</t>
  </si>
  <si>
    <t>Foto Nr.</t>
  </si>
  <si>
    <t>Maus</t>
  </si>
  <si>
    <t>A1</t>
  </si>
  <si>
    <t>A2</t>
  </si>
  <si>
    <t>A3</t>
  </si>
  <si>
    <t>A5</t>
  </si>
  <si>
    <t>B1</t>
  </si>
  <si>
    <t>B2</t>
  </si>
  <si>
    <t>B3</t>
  </si>
  <si>
    <t>B4</t>
  </si>
  <si>
    <t>B5</t>
  </si>
  <si>
    <t>C2</t>
  </si>
  <si>
    <t>C3</t>
  </si>
  <si>
    <t>C5</t>
  </si>
  <si>
    <t>C6</t>
  </si>
  <si>
    <t>D1</t>
  </si>
  <si>
    <t>D2</t>
  </si>
  <si>
    <t>D4</t>
  </si>
  <si>
    <t>D5</t>
  </si>
  <si>
    <t>D6</t>
  </si>
  <si>
    <t>D7</t>
  </si>
  <si>
    <t>C1</t>
  </si>
  <si>
    <t>C4</t>
  </si>
  <si>
    <t>A: 0 Gy</t>
  </si>
  <si>
    <t>C: 0 Gy + A7R</t>
  </si>
  <si>
    <t>Therapie mit NRP1 Inhibitor (A7R) bei unbestrahlten (0 Gy) und bestrahlten Mäusen (12,5 Gy)</t>
  </si>
  <si>
    <t>B: 12,5 Gy</t>
  </si>
  <si>
    <t>D: 12,5 Gy + A7R</t>
  </si>
  <si>
    <t xml:space="preserve">Versuch: XS44 </t>
  </si>
  <si>
    <t>Versuchsgruppen: A-D</t>
  </si>
  <si>
    <r>
      <t xml:space="preserve">Figure 1 aus Hübner et al., 2008, </t>
    </r>
    <r>
      <rPr>
        <b/>
        <sz val="8"/>
        <color theme="1"/>
        <rFont val="Calibri"/>
        <family val="2"/>
        <scheme val="minor"/>
      </rPr>
      <t>Standardized quantification of pulmonary fibrosis in histological samples</t>
    </r>
    <r>
      <rPr>
        <sz val="8"/>
        <color theme="1"/>
        <rFont val="Calibri"/>
        <family val="2"/>
        <scheme val="minor"/>
      </rPr>
      <t>, BioTechniques</t>
    </r>
  </si>
  <si>
    <t>A: 0</t>
  </si>
  <si>
    <t>B: 1</t>
  </si>
  <si>
    <t>C: 2</t>
  </si>
  <si>
    <t>D: 3</t>
  </si>
  <si>
    <t>E: 4</t>
  </si>
  <si>
    <t>F: 5</t>
  </si>
  <si>
    <t>G: 6</t>
  </si>
  <si>
    <t>H: 7</t>
  </si>
  <si>
    <t>I: 8</t>
  </si>
  <si>
    <t>Ashcroft Fibrose Scoring (modifiziert nach Hübner)</t>
  </si>
  <si>
    <t>Western Blot</t>
  </si>
  <si>
    <t>D3</t>
  </si>
  <si>
    <t>B: 0 Gy + A7R</t>
  </si>
  <si>
    <t>C: 12,5 Gy</t>
  </si>
  <si>
    <t>Bestimmung der arteriellen Sauerstoffsättigung (Pulsoxymetrie)</t>
  </si>
  <si>
    <t>(Einzelmessung aufgrund von hohem zeitlichem Aufwand)</t>
  </si>
  <si>
    <t>Lung Volume (ccm)</t>
  </si>
  <si>
    <t>%aerated lung= (Cut-off Volume /total lung volume) x 100</t>
  </si>
  <si>
    <t>Mouse ID</t>
  </si>
  <si>
    <t>Mouse number</t>
  </si>
  <si>
    <t>Group</t>
  </si>
  <si>
    <t>total total -860 to -120HU</t>
  </si>
  <si>
    <t>cutoff -300</t>
  </si>
  <si>
    <t>mean</t>
  </si>
  <si>
    <t>Fold to Co</t>
  </si>
  <si>
    <t>control</t>
  </si>
  <si>
    <t>A4</t>
  </si>
  <si>
    <t>control +A7R</t>
  </si>
  <si>
    <t>Scorer 1</t>
  </si>
  <si>
    <t>CT-Scan des Thorax zur densitometrischen Bestimmung des belüfteten Lungenvolumens</t>
  </si>
  <si>
    <r>
      <t>(Mecozzi et al., 2020,</t>
    </r>
    <r>
      <rPr>
        <b/>
        <sz val="11"/>
        <color theme="1"/>
        <rFont val="Calibri"/>
        <family val="2"/>
        <scheme val="minor"/>
      </rPr>
      <t xml:space="preserve"> In‑vivo lung fibrosis staging in a bleomycin‑mouse model: a new micro‑CT guided densitometric approach</t>
    </r>
    <r>
      <rPr>
        <sz val="11"/>
        <color theme="1"/>
        <rFont val="Calibri"/>
        <family val="2"/>
        <scheme val="minor"/>
      </rPr>
      <t xml:space="preserve">, </t>
    </r>
    <r>
      <rPr>
        <i/>
        <sz val="11"/>
        <color theme="1"/>
        <rFont val="Calibri"/>
        <family val="2"/>
        <scheme val="minor"/>
      </rPr>
      <t>Scinetific Reports)</t>
    </r>
  </si>
  <si>
    <t xml:space="preserve">12.5 Gy </t>
  </si>
  <si>
    <t>12.5 Gy +A7R</t>
  </si>
  <si>
    <t xml:space="preserve"> --&gt; Für jede Probe werden jeweils 3 technische Replikate für Target und Housekeeping Gen pipettiert (d.h. jeweils 3 Wells einer 96-Well-Platte)</t>
  </si>
  <si>
    <t>Sample name</t>
  </si>
  <si>
    <t>C(T)</t>
  </si>
  <si>
    <t>MW C(T) Triplets</t>
  </si>
  <si>
    <t>MW C(T) group</t>
  </si>
  <si>
    <t>ΔC(T) zum house keeping</t>
  </si>
  <si>
    <r>
      <t>E</t>
    </r>
    <r>
      <rPr>
        <sz val="11"/>
        <color theme="1"/>
        <rFont val="Calibri"/>
        <family val="2"/>
      </rPr>
      <t>^ΔC(T) zum house keeping</t>
    </r>
  </si>
  <si>
    <t>Fibronectin (Target)</t>
  </si>
  <si>
    <t>Actin (Housekeeping)</t>
  </si>
  <si>
    <t>MW group</t>
  </si>
  <si>
    <t>Versuch: XS32</t>
  </si>
  <si>
    <t>Versuch: XS44</t>
  </si>
  <si>
    <t>XS60</t>
  </si>
  <si>
    <t>Scorer 2</t>
  </si>
  <si>
    <t>Scorer 3</t>
  </si>
  <si>
    <t>Membran 1</t>
  </si>
  <si>
    <t xml:space="preserve">NRP1 </t>
  </si>
  <si>
    <t>Aktin</t>
  </si>
  <si>
    <t>Band</t>
  </si>
  <si>
    <t>255-Band</t>
  </si>
  <si>
    <t>Background</t>
  </si>
  <si>
    <t>255-Background</t>
  </si>
  <si>
    <t>Band-Background</t>
  </si>
  <si>
    <t>normalisiert auf Aktin</t>
  </si>
  <si>
    <t>MW Gruppe A</t>
  </si>
  <si>
    <t>normalisiert auf A (fold change)</t>
  </si>
  <si>
    <t>MW Fold Change</t>
  </si>
  <si>
    <t>Membran 2</t>
  </si>
  <si>
    <t>normalisiert auf A</t>
  </si>
  <si>
    <t>2. Anschließend wird das Proteingemisch (definierte Proteinmenge, z.B. 10 µg pro Probe) mittels SDS-PAGE der Größe nach aufgetrennt und auf eine Trägermembran übertragen.</t>
  </si>
  <si>
    <t>CD45+ cells (% of alive)</t>
  </si>
  <si>
    <t>Mean group</t>
  </si>
  <si>
    <r>
      <t>0</t>
    </r>
    <r>
      <rPr>
        <b/>
        <vertAlign val="subscript"/>
        <sz val="11"/>
        <color theme="1"/>
        <rFont val="Calibri"/>
        <family val="2"/>
        <scheme val="minor"/>
      </rPr>
      <t>2</t>
    </r>
    <r>
      <rPr>
        <b/>
        <sz val="11"/>
        <color theme="1"/>
        <rFont val="Calibri"/>
        <family val="2"/>
        <scheme val="minor"/>
      </rPr>
      <t xml:space="preserve"> Sättigung (%)</t>
    </r>
  </si>
  <si>
    <t>1. Das Gesamtlungengewebe wird pulverisiert und ca 20 mg werden in Lysispuffer homogenisiert. Anschließend wird aus dem kompletten Lysat die RNA isoliert und hiervon 1 ng RNA in cDNA umgeschrieben.</t>
  </si>
  <si>
    <t>2. Die cDNA wird 1:100 in Wasser verdünnt und hiervon werden für die qPCR Analyse jeweils 2 µl pro Well mit 8 µl qPCR Master Mix eingesetzt (enthält Primer, dNTPs, DNA Polymerase, SYBR Green und Wasser).</t>
  </si>
  <si>
    <t>4. Aus den CT Werten der drei technischen Replikate wird jeweils der Mittelwert gebildet (Replikate mit mehr als 1 CT Abweichung zu den übrigen beiden technischen Replikaten werden nicht verwendet).</t>
  </si>
  <si>
    <t>5. Mit der ∆Ct Methode wird anhand der Mittelwerte der technischen Replikate die relative Expression des Target Gens zum Housekeeping Gen berechnet (E^ΔC(T) mit der Anname, dass die Effizienz E = 2 ist).</t>
  </si>
  <si>
    <t>1. Lungengewebeschnitte (linker Lungenflügel) werden mit Masson's Trichrome gefärbt.</t>
  </si>
  <si>
    <t>2. Pro Maus werden von diesem Lungengewebeschnitt 20 Mikroskopbilder aufgenommen (random, non-overlapping).</t>
  </si>
  <si>
    <t>3. Jedem der 20 Bilder wird von jeweils 3 Scorern ein Fibrosescore von 0 (gesundes Gewebe) bis 8 (flächendeckende Fibrose) zugeteilt (die Gruppenzuteilung ist den Scorern dabei nicht bekannt).</t>
  </si>
  <si>
    <t>4. Aus den 20 Einzelbildern wird erst der Mittelwert pro Scorer gebildet und daraufhin aus den 3 Einzelwerten der Scorer ebenfalls der Mittelwert gebildet um den jeweiligen Score pro Maus zu ermitteln.</t>
  </si>
  <si>
    <t>1. Das Gesamtlungengewebe wird pulverisiert und ca. 50 mg werden in RIPA Puffer lysiert.</t>
  </si>
  <si>
    <t>3. Durch spezifische Erstantikörper und HRP-gekoppelte Zweitantikörper werden einzelne Proteinbanden mittels Chemilumineszenz sichtbar gemacht (Aktin wird zur Normalisierung verwendet).</t>
  </si>
  <si>
    <t>4. In ImageJ wird eine region of interest in der Größe der Proteinbanden gewählt und so einzeln die jeweiligen Graustufen der Banden bestimmt (durch 255-X werden die Werte invertiert).</t>
  </si>
  <si>
    <t>5. Mit der gleichen region of interest wird ebenfalls die Graustufe des Backgrounds über oder unter der Bande bestimmt und vom Wert der Bande subtrahiert.</t>
  </si>
  <si>
    <t>6. Die Banden des Target Proteins werden auf die jeweils zugehörigen Aktinbanden normalisiert.</t>
  </si>
  <si>
    <t>7. Wenn die Proben auf mehrere Gele/Membranen aufgeteilt werden müssen (es können maximal 14 Proben auf ein Gel aufgetragen werden), wird auf jedem Gel die Kontrollgruppe (hier Gruppe A) mitgeführt und die Werte der übrigen Gruppen auf die Kontrollgruppe normalisiert (fold change).</t>
  </si>
  <si>
    <t>1. Das Gesamtlungengewebe wird zerkleinert, mit Kollagenase verdaut und gefiltert.</t>
  </si>
  <si>
    <t>2. Erythrozyten werden mit ACK Puffer lysiert.</t>
  </si>
  <si>
    <t>3. Die übrigen Lungezellen werden mit fluoreszenmarkierten Antikörpern extra- und intrazellulär gefärbt (pro Lunge werden die Zellen meist auf 5 verschiedene Färbungen aufgeteilt um unterschiedliche Zelltypen zu identifizieren und die Expression verschiedener Marker zu analysieren).</t>
  </si>
  <si>
    <t>4. Die Zellen werden mithilfe eines Durchflusszytometers analysiert und meist als Prozentsatz der parent population dargestellt bzw. wird die Expression von Markerproteinen auf den Zellen als mean fluorescence intensity (MFI) angegeben.</t>
  </si>
  <si>
    <t>1. Vor Beendigung des Mausversuchs wird in Narkose ein Mikro-CT-Scan des gesamten Thorax der Mäuse erstellt.</t>
  </si>
  <si>
    <t>2. Die Graustufen des CT Scans werden in Hounsfield-Units (HU) umgewandelt (-1000 HU = Dichte von Luft; 0 HU = Dichte von Wasser).</t>
  </si>
  <si>
    <r>
      <t>3. Der Bereich von -860 HU bis -120 HU wird zur Bestimmung des Gesamtvolumens der Lunge in cm</t>
    </r>
    <r>
      <rPr>
        <vertAlign val="superscript"/>
        <sz val="11"/>
        <color theme="1"/>
        <rFont val="Calibri"/>
        <family val="2"/>
        <scheme val="minor"/>
      </rPr>
      <t xml:space="preserve">3 </t>
    </r>
    <r>
      <rPr>
        <sz val="11"/>
        <color theme="1"/>
        <rFont val="Calibri"/>
        <family val="2"/>
        <scheme val="minor"/>
      </rPr>
      <t>gewählt.</t>
    </r>
  </si>
  <si>
    <t>4. Anhand eines Cut-off-Werts von -300 HU wird das belüftete Lungenvolumen bestimmt und prozentual zum Gesamtlungenvolumen ausgedrückt.</t>
  </si>
  <si>
    <t>Zur Bestimmung der arteriellen Sauerstoffsättigung werden die Mäuse einzeln ohne Narkose in einer Röhre fixiert und mithilfe eines Beinclips des MouseOx Pulsoximeters solange die Sauerstoffsättigung bestimmt, bis ein stabiler Wert erreicht wird.</t>
  </si>
  <si>
    <t>3. Im qPCR Cycler wird die cDNA in maximal 40 Zyklen vervielfältigt. Dabei bindet SYBR an die doppelsträngige DNA und der Cycler ermittelt den Zylus bei dem das Fluoreszenzsignal des SYBR Green einen Schwellenwert überschreitet (CT-Wert).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</si>
</sst>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0"/>
    <numFmt numFmtId="167" formatCode="#,##0.000"/>
  </numFmts>
  <fonts count="22" x14ac:knownFonts="1">
    <font>
      <sz val="11"/>
      <color theme="1"/>
      <name val="Calibri"/>
      <family val="2"/>
      <scheme val="minor"/>
    </font>
    <font>
      <b/>
      <sz val="11"/>
      <color theme="1"/>
      <name val="Calibri"/>
      <family val="2"/>
      <scheme val="minor"/>
    </font>
    <font>
      <sz val="8"/>
      <color theme="1"/>
      <name val="Calibri"/>
      <family val="2"/>
      <scheme val="minor"/>
    </font>
    <font>
      <b/>
      <sz val="8"/>
      <color theme="1"/>
      <name val="Calibri"/>
      <family val="2"/>
      <scheme val="minor"/>
    </font>
    <font>
      <sz val="9"/>
      <name val="Arial"/>
      <family val="2"/>
    </font>
    <font>
      <sz val="11"/>
      <color rgb="FFFF0000"/>
      <name val="Calibri"/>
      <family val="2"/>
      <scheme val="minor"/>
    </font>
    <font>
      <sz val="10"/>
      <color indexed="8"/>
      <name val="Arial"/>
      <family val="2"/>
    </font>
    <font>
      <b/>
      <sz val="10"/>
      <name val="Arial"/>
      <family val="2"/>
    </font>
    <font>
      <b/>
      <sz val="10"/>
      <color indexed="8"/>
      <name val="Arial"/>
      <family val="2"/>
    </font>
    <font>
      <b/>
      <sz val="14"/>
      <color theme="1"/>
      <name val="Calibri"/>
      <family val="2"/>
      <scheme val="minor"/>
    </font>
    <font>
      <b/>
      <sz val="10"/>
      <color theme="1"/>
      <name val="Arial"/>
      <family val="2"/>
    </font>
    <font>
      <b/>
      <sz val="14"/>
      <color theme="1"/>
      <name val="Arial"/>
      <family val="2"/>
    </font>
    <font>
      <sz val="11"/>
      <color theme="1"/>
      <name val="Arial"/>
      <family val="2"/>
    </font>
    <font>
      <sz val="10"/>
      <color theme="1"/>
      <name val="Arial"/>
      <family val="2"/>
    </font>
    <font>
      <vertAlign val="superscript"/>
      <sz val="11"/>
      <color theme="1"/>
      <name val="Calibri"/>
      <family val="2"/>
      <scheme val="minor"/>
    </font>
    <font>
      <i/>
      <sz val="11"/>
      <color theme="1"/>
      <name val="Calibri"/>
      <family val="2"/>
      <scheme val="minor"/>
    </font>
    <font>
      <sz val="11"/>
      <name val="Calibri"/>
      <family val="2"/>
      <scheme val="minor"/>
    </font>
    <font>
      <sz val="11"/>
      <color theme="1"/>
      <name val="Calibri"/>
      <family val="2"/>
    </font>
    <font>
      <sz val="12"/>
      <name val="Calibri"/>
      <family val="2"/>
      <scheme val="minor"/>
    </font>
    <font>
      <sz val="8"/>
      <name val="Calibri"/>
      <family val="2"/>
      <scheme val="minor"/>
    </font>
    <font>
      <b/>
      <sz val="11"/>
      <name val="Calibri"/>
      <family val="2"/>
      <scheme val="minor"/>
    </font>
    <font>
      <b/>
      <vertAlign val="subscript"/>
      <sz val="11"/>
      <color theme="1"/>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7"/>
        <bgColor indexed="64"/>
      </patternFill>
    </fill>
  </fills>
  <borders count="45">
    <border>
      <left/>
      <right/>
      <top/>
      <bottom/>
      <diagonal/>
    </border>
    <border>
      <left/>
      <right/>
      <top/>
      <bottom style="medium">
        <color indexed="64"/>
      </bottom>
      <diagonal/>
    </border>
    <border>
      <left style="thin">
        <color indexed="64"/>
      </left>
      <right style="thin">
        <color indexed="64"/>
      </right>
      <top/>
      <bottom/>
      <diagonal/>
    </border>
    <border>
      <left style="thin">
        <color indexed="64"/>
      </left>
      <right/>
      <top/>
      <bottom/>
      <diagonal/>
    </border>
    <border>
      <left style="thin">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medium">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right/>
      <top style="medium">
        <color indexed="64"/>
      </top>
      <bottom/>
      <diagonal/>
    </border>
    <border>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auto="1"/>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53">
    <xf numFmtId="0" fontId="0" fillId="0" borderId="0" xfId="0"/>
    <xf numFmtId="0" fontId="1" fillId="0" borderId="0" xfId="0" applyFont="1"/>
    <xf numFmtId="164" fontId="0" fillId="0" borderId="0" xfId="0" applyNumberFormat="1"/>
    <xf numFmtId="2" fontId="0" fillId="0" borderId="0" xfId="0" applyNumberFormat="1"/>
    <xf numFmtId="0" fontId="2" fillId="0" borderId="0" xfId="0" applyFont="1"/>
    <xf numFmtId="0" fontId="4" fillId="0" borderId="0" xfId="0" applyFont="1"/>
    <xf numFmtId="0" fontId="0" fillId="0" borderId="0" xfId="0" applyFont="1"/>
    <xf numFmtId="0" fontId="5" fillId="0" borderId="0" xfId="0" applyFont="1"/>
    <xf numFmtId="0" fontId="0" fillId="0" borderId="0" xfId="0" applyFill="1" applyBorder="1"/>
    <xf numFmtId="0" fontId="6" fillId="0" borderId="0" xfId="0" applyFont="1" applyFill="1" applyBorder="1"/>
    <xf numFmtId="0" fontId="0" fillId="0" borderId="0" xfId="0" applyFill="1" applyBorder="1" applyAlignment="1">
      <alignment horizontal="center"/>
    </xf>
    <xf numFmtId="0" fontId="7" fillId="0" borderId="0" xfId="0" applyFont="1" applyFill="1" applyBorder="1" applyAlignment="1">
      <alignment horizontal="center"/>
    </xf>
    <xf numFmtId="0" fontId="7" fillId="0" borderId="0" xfId="0" applyFont="1" applyFill="1" applyBorder="1" applyAlignment="1">
      <alignment horizontal="center" vertical="center"/>
    </xf>
    <xf numFmtId="0" fontId="8" fillId="0" borderId="0" xfId="0" applyFont="1" applyFill="1" applyBorder="1" applyAlignment="1">
      <alignment horizontal="center" vertical="center"/>
    </xf>
    <xf numFmtId="1" fontId="7" fillId="0" borderId="0" xfId="0" applyNumberFormat="1" applyFont="1" applyFill="1" applyBorder="1" applyAlignment="1">
      <alignment horizontal="center" vertical="center"/>
    </xf>
    <xf numFmtId="0" fontId="8" fillId="0" borderId="0" xfId="0" applyFont="1" applyFill="1" applyBorder="1" applyAlignment="1">
      <alignment horizontal="center"/>
    </xf>
    <xf numFmtId="0" fontId="0" fillId="0" borderId="0" xfId="0" applyBorder="1"/>
    <xf numFmtId="0" fontId="4" fillId="0" borderId="0" xfId="0" applyFont="1" applyFill="1" applyBorder="1"/>
    <xf numFmtId="0" fontId="6" fillId="0" borderId="0" xfId="0" applyFont="1"/>
    <xf numFmtId="0" fontId="9" fillId="2" borderId="1" xfId="0" applyFont="1" applyFill="1" applyBorder="1" applyAlignment="1">
      <alignment vertical="center"/>
    </xf>
    <xf numFmtId="0" fontId="6" fillId="0" borderId="2" xfId="0" applyFont="1" applyBorder="1"/>
    <xf numFmtId="0" fontId="10" fillId="2" borderId="1" xfId="0" applyFont="1" applyFill="1" applyBorder="1" applyAlignment="1">
      <alignment vertical="center"/>
    </xf>
    <xf numFmtId="165" fontId="10" fillId="2" borderId="4" xfId="0" applyNumberFormat="1" applyFont="1" applyFill="1" applyBorder="1" applyAlignment="1">
      <alignment horizontal="center" vertical="center"/>
    </xf>
    <xf numFmtId="165" fontId="11" fillId="0" borderId="0" xfId="0" applyNumberFormat="1" applyFont="1" applyAlignment="1">
      <alignment horizontal="center" vertical="center"/>
    </xf>
    <xf numFmtId="0" fontId="10" fillId="0" borderId="1" xfId="0" applyFont="1" applyBorder="1" applyAlignment="1">
      <alignment horizontal="center"/>
    </xf>
    <xf numFmtId="49" fontId="10" fillId="2" borderId="3" xfId="0" applyNumberFormat="1" applyFont="1" applyFill="1" applyBorder="1" applyAlignment="1">
      <alignment horizontal="center" vertical="center"/>
    </xf>
    <xf numFmtId="49" fontId="10" fillId="2" borderId="0" xfId="0" applyNumberFormat="1" applyFont="1" applyFill="1" applyAlignment="1">
      <alignment horizontal="center" vertical="center"/>
    </xf>
    <xf numFmtId="165" fontId="10" fillId="2" borderId="3" xfId="0" applyNumberFormat="1" applyFont="1" applyFill="1" applyBorder="1" applyAlignment="1">
      <alignment horizontal="center" vertical="center"/>
    </xf>
    <xf numFmtId="0" fontId="12" fillId="0" borderId="0" xfId="0" applyFont="1"/>
    <xf numFmtId="0" fontId="13" fillId="0" borderId="0" xfId="0" applyFont="1"/>
    <xf numFmtId="165" fontId="6" fillId="0" borderId="5" xfId="0" applyNumberFormat="1" applyFont="1" applyBorder="1" applyAlignment="1">
      <alignment horizontal="right" vertical="center"/>
    </xf>
    <xf numFmtId="165" fontId="6" fillId="0" borderId="0" xfId="0" applyNumberFormat="1" applyFont="1" applyAlignment="1">
      <alignment horizontal="right" vertical="center"/>
    </xf>
    <xf numFmtId="165" fontId="6" fillId="3" borderId="3" xfId="0" applyNumberFormat="1" applyFont="1" applyFill="1" applyBorder="1" applyAlignment="1">
      <alignment horizontal="center" vertical="center"/>
    </xf>
    <xf numFmtId="2" fontId="6" fillId="0" borderId="0" xfId="0" applyNumberFormat="1" applyFont="1"/>
    <xf numFmtId="2" fontId="6" fillId="0" borderId="2" xfId="0" applyNumberFormat="1" applyFont="1" applyBorder="1"/>
    <xf numFmtId="165" fontId="6" fillId="0" borderId="2" xfId="0" applyNumberFormat="1" applyFont="1" applyBorder="1" applyAlignment="1">
      <alignment horizontal="right" vertical="center"/>
    </xf>
    <xf numFmtId="0" fontId="12" fillId="0" borderId="1" xfId="0" applyFont="1" applyBorder="1"/>
    <xf numFmtId="0" fontId="13" fillId="0" borderId="1" xfId="0" applyFont="1" applyBorder="1"/>
    <xf numFmtId="0" fontId="6" fillId="0" borderId="6" xfId="0" applyFont="1" applyBorder="1" applyAlignment="1">
      <alignment horizontal="right"/>
    </xf>
    <xf numFmtId="0" fontId="6" fillId="0" borderId="1" xfId="0" applyFont="1" applyBorder="1" applyAlignment="1">
      <alignment horizontal="right"/>
    </xf>
    <xf numFmtId="165" fontId="6" fillId="3" borderId="4" xfId="0" applyNumberFormat="1" applyFont="1" applyFill="1" applyBorder="1" applyAlignment="1">
      <alignment horizontal="center" vertical="center"/>
    </xf>
    <xf numFmtId="2" fontId="6" fillId="0" borderId="1" xfId="0" applyNumberFormat="1" applyFont="1" applyBorder="1"/>
    <xf numFmtId="2" fontId="6" fillId="0" borderId="6" xfId="0" applyNumberFormat="1" applyFont="1" applyBorder="1"/>
    <xf numFmtId="165" fontId="6" fillId="0" borderId="6" xfId="0" applyNumberFormat="1" applyFont="1" applyBorder="1" applyAlignment="1">
      <alignment horizontal="right" vertical="center"/>
    </xf>
    <xf numFmtId="165" fontId="6" fillId="0" borderId="7" xfId="0" applyNumberFormat="1" applyFont="1" applyBorder="1" applyAlignment="1">
      <alignment horizontal="right" vertical="center"/>
    </xf>
    <xf numFmtId="0" fontId="6" fillId="0" borderId="2" xfId="0" applyFont="1" applyBorder="1" applyAlignment="1">
      <alignment horizontal="right"/>
    </xf>
    <xf numFmtId="0" fontId="6" fillId="0" borderId="0" xfId="0" applyFont="1" applyAlignment="1">
      <alignment horizontal="right"/>
    </xf>
    <xf numFmtId="0" fontId="6" fillId="0" borderId="6" xfId="0" applyFont="1" applyBorder="1"/>
    <xf numFmtId="0" fontId="6" fillId="0" borderId="1" xfId="0" applyFont="1" applyBorder="1"/>
    <xf numFmtId="165" fontId="6" fillId="0" borderId="0" xfId="0" applyNumberFormat="1" applyFont="1"/>
    <xf numFmtId="165" fontId="6" fillId="0" borderId="7" xfId="0" applyNumberFormat="1" applyFont="1" applyBorder="1"/>
    <xf numFmtId="2" fontId="6" fillId="0" borderId="7" xfId="0" applyNumberFormat="1" applyFont="1" applyBorder="1"/>
    <xf numFmtId="0" fontId="3" fillId="0" borderId="0" xfId="0" applyFont="1"/>
    <xf numFmtId="0" fontId="16" fillId="0" borderId="0" xfId="0" applyFont="1"/>
    <xf numFmtId="0" fontId="6" fillId="0" borderId="0" xfId="0" applyFont="1" applyBorder="1"/>
    <xf numFmtId="0" fontId="18" fillId="0" borderId="0" xfId="0" applyFont="1" applyAlignment="1" applyProtection="1">
      <alignment vertical="top"/>
      <protection locked="0"/>
    </xf>
    <xf numFmtId="0" fontId="0" fillId="0" borderId="9" xfId="0" applyBorder="1"/>
    <xf numFmtId="0" fontId="5" fillId="0" borderId="10" xfId="0" applyFont="1" applyBorder="1"/>
    <xf numFmtId="0" fontId="0" fillId="0" borderId="10" xfId="0" applyBorder="1"/>
    <xf numFmtId="0" fontId="5" fillId="0" borderId="0" xfId="0" applyFont="1" applyBorder="1"/>
    <xf numFmtId="0" fontId="18" fillId="0" borderId="0" xfId="0" applyFont="1" applyBorder="1" applyAlignment="1" applyProtection="1">
      <alignment vertical="top"/>
      <protection locked="0"/>
    </xf>
    <xf numFmtId="0" fontId="0" fillId="0" borderId="11" xfId="0" applyBorder="1"/>
    <xf numFmtId="0" fontId="1" fillId="0" borderId="0" xfId="0" applyFont="1" applyBorder="1" applyAlignment="1">
      <alignment horizontal="left"/>
    </xf>
    <xf numFmtId="0" fontId="0" fillId="0" borderId="5" xfId="0" applyBorder="1"/>
    <xf numFmtId="0" fontId="0" fillId="0" borderId="2" xfId="0" applyBorder="1"/>
    <xf numFmtId="0" fontId="18" fillId="0" borderId="3" xfId="0" applyFont="1" applyBorder="1" applyAlignment="1" applyProtection="1">
      <alignment vertical="top"/>
      <protection locked="0"/>
    </xf>
    <xf numFmtId="0" fontId="0" fillId="0" borderId="12" xfId="0" applyBorder="1"/>
    <xf numFmtId="0" fontId="18" fillId="0" borderId="14" xfId="0" applyFont="1" applyBorder="1" applyAlignment="1" applyProtection="1">
      <alignment vertical="top"/>
      <protection locked="0"/>
    </xf>
    <xf numFmtId="0" fontId="1" fillId="0" borderId="2" xfId="0" applyFont="1" applyBorder="1"/>
    <xf numFmtId="166" fontId="0" fillId="0" borderId="2" xfId="0" applyNumberFormat="1" applyBorder="1"/>
    <xf numFmtId="166" fontId="1" fillId="0" borderId="2" xfId="0" applyNumberFormat="1" applyFont="1" applyBorder="1"/>
    <xf numFmtId="0" fontId="0" fillId="2" borderId="8" xfId="0" applyFill="1" applyBorder="1"/>
    <xf numFmtId="0" fontId="0" fillId="2" borderId="8" xfId="0" applyFill="1" applyBorder="1" applyAlignment="1">
      <alignment horizontal="center"/>
    </xf>
    <xf numFmtId="0" fontId="0" fillId="4" borderId="12" xfId="0" applyFill="1" applyBorder="1"/>
    <xf numFmtId="166" fontId="1" fillId="4" borderId="12" xfId="0" applyNumberFormat="1" applyFont="1" applyFill="1" applyBorder="1"/>
    <xf numFmtId="166" fontId="1" fillId="4" borderId="13" xfId="0" applyNumberFormat="1" applyFont="1" applyFill="1" applyBorder="1"/>
    <xf numFmtId="166" fontId="0" fillId="4" borderId="13" xfId="0" applyNumberFormat="1" applyFill="1" applyBorder="1"/>
    <xf numFmtId="166" fontId="0" fillId="0" borderId="11" xfId="0" applyNumberFormat="1" applyBorder="1"/>
    <xf numFmtId="0" fontId="4" fillId="0" borderId="0" xfId="0" applyFont="1" applyFill="1" applyBorder="1" applyAlignment="1">
      <alignment horizontal="center"/>
    </xf>
    <xf numFmtId="0" fontId="0" fillId="0" borderId="8" xfId="0" applyBorder="1"/>
    <xf numFmtId="0" fontId="1" fillId="4" borderId="0" xfId="0" applyFont="1" applyFill="1" applyAlignment="1">
      <alignment horizontal="center"/>
    </xf>
    <xf numFmtId="0" fontId="0" fillId="0" borderId="22" xfId="0" applyBorder="1"/>
    <xf numFmtId="0" fontId="0" fillId="0" borderId="23" xfId="0" applyBorder="1"/>
    <xf numFmtId="0" fontId="0" fillId="0" borderId="24" xfId="0" applyBorder="1"/>
    <xf numFmtId="0" fontId="1" fillId="4" borderId="16" xfId="0" applyFont="1" applyFill="1" applyBorder="1"/>
    <xf numFmtId="0" fontId="1" fillId="4" borderId="20" xfId="0" applyFont="1" applyFill="1" applyBorder="1"/>
    <xf numFmtId="0" fontId="1" fillId="4" borderId="17" xfId="0" applyFont="1" applyFill="1" applyBorder="1"/>
    <xf numFmtId="0" fontId="1" fillId="4" borderId="21" xfId="0" applyFont="1" applyFill="1" applyBorder="1"/>
    <xf numFmtId="0" fontId="1" fillId="4" borderId="18" xfId="0" applyFont="1" applyFill="1" applyBorder="1"/>
    <xf numFmtId="0" fontId="1" fillId="4" borderId="19" xfId="0" applyFont="1" applyFill="1" applyBorder="1"/>
    <xf numFmtId="0" fontId="1" fillId="4" borderId="16" xfId="0" applyFont="1" applyFill="1" applyBorder="1" applyAlignment="1">
      <alignment horizontal="center"/>
    </xf>
    <xf numFmtId="0" fontId="1" fillId="4" borderId="28" xfId="0" applyFont="1" applyFill="1" applyBorder="1"/>
    <xf numFmtId="0" fontId="1" fillId="4" borderId="15" xfId="0" applyFont="1" applyFill="1" applyBorder="1"/>
    <xf numFmtId="0" fontId="0" fillId="0" borderId="32" xfId="0" applyBorder="1"/>
    <xf numFmtId="0" fontId="0" fillId="0" borderId="33" xfId="0" applyBorder="1"/>
    <xf numFmtId="0" fontId="0" fillId="0" borderId="34" xfId="0" applyBorder="1"/>
    <xf numFmtId="0" fontId="0" fillId="0" borderId="35" xfId="0" applyBorder="1"/>
    <xf numFmtId="0" fontId="0" fillId="0" borderId="36" xfId="0" applyBorder="1"/>
    <xf numFmtId="0" fontId="0" fillId="0" borderId="37" xfId="0" applyBorder="1"/>
    <xf numFmtId="0" fontId="0" fillId="0" borderId="38" xfId="0" applyBorder="1"/>
    <xf numFmtId="0" fontId="0" fillId="4" borderId="20" xfId="0" applyFill="1" applyBorder="1"/>
    <xf numFmtId="0" fontId="0" fillId="4" borderId="17" xfId="0" applyFill="1" applyBorder="1"/>
    <xf numFmtId="0" fontId="0" fillId="4" borderId="21" xfId="0" applyFill="1" applyBorder="1"/>
    <xf numFmtId="0" fontId="1" fillId="4" borderId="29" xfId="0" applyFont="1" applyFill="1" applyBorder="1"/>
    <xf numFmtId="0" fontId="1" fillId="4" borderId="30" xfId="0" applyFont="1" applyFill="1" applyBorder="1"/>
    <xf numFmtId="0" fontId="1" fillId="4" borderId="31" xfId="0" applyFont="1" applyFill="1" applyBorder="1"/>
    <xf numFmtId="0" fontId="5" fillId="0" borderId="0" xfId="0" applyFont="1" applyFill="1"/>
    <xf numFmtId="0" fontId="0" fillId="0" borderId="0" xfId="0" applyFill="1"/>
    <xf numFmtId="0" fontId="0" fillId="0" borderId="39" xfId="0" applyBorder="1"/>
    <xf numFmtId="0" fontId="0" fillId="2" borderId="27" xfId="0" applyFill="1" applyBorder="1"/>
    <xf numFmtId="167" fontId="0" fillId="0" borderId="27" xfId="0" applyNumberFormat="1" applyBorder="1"/>
    <xf numFmtId="0" fontId="0" fillId="0" borderId="27" xfId="0" applyBorder="1"/>
    <xf numFmtId="165" fontId="0" fillId="5" borderId="27" xfId="0" applyNumberFormat="1" applyFill="1" applyBorder="1"/>
    <xf numFmtId="165" fontId="0" fillId="0" borderId="27" xfId="0" applyNumberFormat="1" applyBorder="1"/>
    <xf numFmtId="0" fontId="0" fillId="0" borderId="40" xfId="0" applyBorder="1"/>
    <xf numFmtId="167" fontId="0" fillId="0" borderId="0" xfId="0" applyNumberFormat="1"/>
    <xf numFmtId="165" fontId="0" fillId="0" borderId="0" xfId="0" applyNumberFormat="1"/>
    <xf numFmtId="0" fontId="0" fillId="0" borderId="41" xfId="0" applyBorder="1"/>
    <xf numFmtId="0" fontId="0" fillId="2" borderId="1" xfId="0" applyFill="1" applyBorder="1"/>
    <xf numFmtId="167" fontId="0" fillId="0" borderId="1" xfId="0" applyNumberFormat="1" applyBorder="1"/>
    <xf numFmtId="0" fontId="0" fillId="0" borderId="1" xfId="0" applyBorder="1"/>
    <xf numFmtId="165" fontId="0" fillId="5" borderId="1" xfId="0" applyNumberFormat="1" applyFill="1" applyBorder="1"/>
    <xf numFmtId="165" fontId="0" fillId="0" borderId="1" xfId="0" applyNumberFormat="1" applyBorder="1"/>
    <xf numFmtId="165" fontId="0" fillId="2" borderId="1" xfId="0" applyNumberFormat="1" applyFill="1" applyBorder="1"/>
    <xf numFmtId="165" fontId="0" fillId="0" borderId="25" xfId="0" applyNumberFormat="1" applyBorder="1"/>
    <xf numFmtId="0" fontId="0" fillId="0" borderId="26" xfId="0" applyBorder="1"/>
    <xf numFmtId="165" fontId="1" fillId="6" borderId="0" xfId="0" applyNumberFormat="1" applyFont="1" applyFill="1" applyBorder="1"/>
    <xf numFmtId="0" fontId="0" fillId="2" borderId="0" xfId="0" applyFill="1" applyBorder="1"/>
    <xf numFmtId="167" fontId="0" fillId="0" borderId="0" xfId="0" applyNumberFormat="1" applyBorder="1"/>
    <xf numFmtId="165" fontId="0" fillId="5" borderId="0" xfId="0" applyNumberFormat="1" applyFill="1" applyBorder="1"/>
    <xf numFmtId="165" fontId="0" fillId="0" borderId="0" xfId="0" applyNumberFormat="1" applyBorder="1"/>
    <xf numFmtId="165" fontId="0" fillId="0" borderId="24" xfId="0" applyNumberFormat="1" applyBorder="1"/>
    <xf numFmtId="165" fontId="1" fillId="6" borderId="27" xfId="0" applyNumberFormat="1" applyFont="1" applyFill="1" applyBorder="1"/>
    <xf numFmtId="165" fontId="1" fillId="6" borderId="1" xfId="0" applyNumberFormat="1" applyFont="1" applyFill="1" applyBorder="1"/>
    <xf numFmtId="165" fontId="0" fillId="2" borderId="0" xfId="0" applyNumberFormat="1" applyFill="1" applyBorder="1"/>
    <xf numFmtId="0" fontId="16" fillId="0" borderId="0" xfId="0" applyFont="1" applyFill="1"/>
    <xf numFmtId="0" fontId="4" fillId="0" borderId="8" xfId="0" applyFont="1" applyFill="1" applyBorder="1"/>
    <xf numFmtId="0" fontId="4" fillId="0" borderId="33" xfId="0" applyFont="1" applyFill="1" applyBorder="1"/>
    <xf numFmtId="0" fontId="4" fillId="0" borderId="43" xfId="0" applyFont="1" applyFill="1" applyBorder="1"/>
    <xf numFmtId="0" fontId="0" fillId="0" borderId="44" xfId="0" applyBorder="1"/>
    <xf numFmtId="0" fontId="4" fillId="0" borderId="8" xfId="0" applyFont="1" applyBorder="1"/>
    <xf numFmtId="0" fontId="4" fillId="0" borderId="43" xfId="0" applyFont="1" applyBorder="1"/>
    <xf numFmtId="0" fontId="4" fillId="0" borderId="33" xfId="0" applyFont="1" applyBorder="1"/>
    <xf numFmtId="0" fontId="1" fillId="2" borderId="32" xfId="0" applyFont="1" applyFill="1" applyBorder="1"/>
    <xf numFmtId="0" fontId="1" fillId="2" borderId="35" xfId="0" applyFont="1" applyFill="1" applyBorder="1"/>
    <xf numFmtId="0" fontId="1" fillId="2" borderId="42" xfId="0" applyFont="1" applyFill="1" applyBorder="1"/>
    <xf numFmtId="0" fontId="0" fillId="2" borderId="32" xfId="0" applyFill="1" applyBorder="1"/>
    <xf numFmtId="0" fontId="0" fillId="2" borderId="35" xfId="0" applyFill="1" applyBorder="1"/>
    <xf numFmtId="0" fontId="0" fillId="2" borderId="42" xfId="0" applyFill="1" applyBorder="1"/>
    <xf numFmtId="0" fontId="20" fillId="0" borderId="0" xfId="0" applyFont="1"/>
    <xf numFmtId="0" fontId="0" fillId="0" borderId="43" xfId="0" applyBorder="1"/>
    <xf numFmtId="0" fontId="4" fillId="0" borderId="0" xfId="0" applyFont="1" applyFill="1" applyBorder="1" applyAlignment="1">
      <alignment horizontal="center"/>
    </xf>
    <xf numFmtId="0" fontId="0" fillId="2" borderId="5" xfId="0" applyFill="1" applyBorder="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16</xdr:col>
      <xdr:colOff>742951</xdr:colOff>
      <xdr:row>1</xdr:row>
      <xdr:rowOff>190499</xdr:rowOff>
    </xdr:from>
    <xdr:to>
      <xdr:col>21</xdr:col>
      <xdr:colOff>679499</xdr:colOff>
      <xdr:row>16</xdr:row>
      <xdr:rowOff>67166</xdr:rowOff>
    </xdr:to>
    <xdr:pic>
      <xdr:nvPicPr>
        <xdr:cNvPr id="2" name="Grafik 1">
          <a:extLst>
            <a:ext uri="{FF2B5EF4-FFF2-40B4-BE49-F238E27FC236}">
              <a16:creationId xmlns:a16="http://schemas.microsoft.com/office/drawing/2014/main" id="{DFB52044-E403-4B39-AA8A-BCAD153A03E8}"/>
            </a:ext>
          </a:extLst>
        </xdr:cNvPr>
        <xdr:cNvPicPr>
          <a:picLocks noChangeAspect="1"/>
        </xdr:cNvPicPr>
      </xdr:nvPicPr>
      <xdr:blipFill>
        <a:blip xmlns:r="http://schemas.openxmlformats.org/officeDocument/2006/relationships" r:embed="rId1"/>
        <a:stretch>
          <a:fillRect/>
        </a:stretch>
      </xdr:blipFill>
      <xdr:spPr>
        <a:xfrm>
          <a:off x="12934951" y="380999"/>
          <a:ext cx="3746548" cy="27341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76201</xdr:colOff>
      <xdr:row>7</xdr:row>
      <xdr:rowOff>95250</xdr:rowOff>
    </xdr:from>
    <xdr:to>
      <xdr:col>1</xdr:col>
      <xdr:colOff>934201</xdr:colOff>
      <xdr:row>16</xdr:row>
      <xdr:rowOff>750</xdr:rowOff>
    </xdr:to>
    <xdr:pic>
      <xdr:nvPicPr>
        <xdr:cNvPr id="2" name="Grafik 1">
          <a:extLst>
            <a:ext uri="{FF2B5EF4-FFF2-40B4-BE49-F238E27FC236}">
              <a16:creationId xmlns:a16="http://schemas.microsoft.com/office/drawing/2014/main" id="{0FBC57E8-4B3B-4D9B-875D-0FC6394623FC}"/>
            </a:ext>
          </a:extLst>
        </xdr:cNvPr>
        <xdr:cNvPicPr>
          <a:picLocks noChangeAspect="1"/>
        </xdr:cNvPicPr>
      </xdr:nvPicPr>
      <xdr:blipFill>
        <a:blip xmlns:r="http://schemas.openxmlformats.org/officeDocument/2006/relationships" r:embed="rId1"/>
        <a:stretch>
          <a:fillRect/>
        </a:stretch>
      </xdr:blipFill>
      <xdr:spPr>
        <a:xfrm>
          <a:off x="76201" y="1428750"/>
          <a:ext cx="1620000" cy="1620000"/>
        </a:xfrm>
        <a:prstGeom prst="rect">
          <a:avLst/>
        </a:prstGeom>
      </xdr:spPr>
    </xdr:pic>
    <xdr:clientData/>
  </xdr:twoCellAnchor>
  <xdr:twoCellAnchor editAs="oneCell">
    <xdr:from>
      <xdr:col>1</xdr:col>
      <xdr:colOff>952499</xdr:colOff>
      <xdr:row>7</xdr:row>
      <xdr:rowOff>76199</xdr:rowOff>
    </xdr:from>
    <xdr:to>
      <xdr:col>3</xdr:col>
      <xdr:colOff>381749</xdr:colOff>
      <xdr:row>15</xdr:row>
      <xdr:rowOff>172199</xdr:rowOff>
    </xdr:to>
    <xdr:pic>
      <xdr:nvPicPr>
        <xdr:cNvPr id="3" name="Grafik 2">
          <a:extLst>
            <a:ext uri="{FF2B5EF4-FFF2-40B4-BE49-F238E27FC236}">
              <a16:creationId xmlns:a16="http://schemas.microsoft.com/office/drawing/2014/main" id="{9BC2492D-5241-4567-9230-7A111342BB4F}"/>
            </a:ext>
          </a:extLst>
        </xdr:cNvPr>
        <xdr:cNvPicPr>
          <a:picLocks noChangeAspect="1"/>
        </xdr:cNvPicPr>
      </xdr:nvPicPr>
      <xdr:blipFill>
        <a:blip xmlns:r="http://schemas.openxmlformats.org/officeDocument/2006/relationships" r:embed="rId2"/>
        <a:stretch>
          <a:fillRect/>
        </a:stretch>
      </xdr:blipFill>
      <xdr:spPr>
        <a:xfrm>
          <a:off x="1714499" y="1409699"/>
          <a:ext cx="1620000" cy="1620000"/>
        </a:xfrm>
        <a:prstGeom prst="rect">
          <a:avLst/>
        </a:prstGeom>
      </xdr:spPr>
    </xdr:pic>
    <xdr:clientData/>
  </xdr:twoCellAnchor>
  <xdr:twoCellAnchor editAs="oneCell">
    <xdr:from>
      <xdr:col>3</xdr:col>
      <xdr:colOff>400049</xdr:colOff>
      <xdr:row>7</xdr:row>
      <xdr:rowOff>95250</xdr:rowOff>
    </xdr:from>
    <xdr:to>
      <xdr:col>5</xdr:col>
      <xdr:colOff>507339</xdr:colOff>
      <xdr:row>16</xdr:row>
      <xdr:rowOff>750</xdr:rowOff>
    </xdr:to>
    <xdr:pic>
      <xdr:nvPicPr>
        <xdr:cNvPr id="4" name="Grafik 3">
          <a:extLst>
            <a:ext uri="{FF2B5EF4-FFF2-40B4-BE49-F238E27FC236}">
              <a16:creationId xmlns:a16="http://schemas.microsoft.com/office/drawing/2014/main" id="{B7DDC09F-8C81-4248-98C7-F52045925365}"/>
            </a:ext>
          </a:extLst>
        </xdr:cNvPr>
        <xdr:cNvPicPr>
          <a:picLocks noChangeAspect="1"/>
        </xdr:cNvPicPr>
      </xdr:nvPicPr>
      <xdr:blipFill>
        <a:blip xmlns:r="http://schemas.openxmlformats.org/officeDocument/2006/relationships" r:embed="rId3"/>
        <a:stretch>
          <a:fillRect/>
        </a:stretch>
      </xdr:blipFill>
      <xdr:spPr>
        <a:xfrm>
          <a:off x="3352799" y="1428750"/>
          <a:ext cx="1631290" cy="16200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7A6CD-9A9A-4194-A52A-CE34BA47D01C}">
  <dimension ref="A1:AD115"/>
  <sheetViews>
    <sheetView workbookViewId="0">
      <selection activeCell="F18" sqref="F18"/>
    </sheetView>
  </sheetViews>
  <sheetFormatPr baseColWidth="10" defaultRowHeight="15" x14ac:dyDescent="0.25"/>
  <cols>
    <col min="1" max="1" width="10.140625" customWidth="1"/>
  </cols>
  <sheetData>
    <row r="1" spans="1:8" x14ac:dyDescent="0.25">
      <c r="A1" s="1" t="s">
        <v>45</v>
      </c>
      <c r="F1" s="106"/>
      <c r="G1" s="107"/>
      <c r="H1" s="107"/>
    </row>
    <row r="3" spans="1:8" x14ac:dyDescent="0.25">
      <c r="A3" s="1" t="s">
        <v>2</v>
      </c>
    </row>
    <row r="4" spans="1:8" x14ac:dyDescent="0.25">
      <c r="A4" t="s">
        <v>106</v>
      </c>
    </row>
    <row r="5" spans="1:8" x14ac:dyDescent="0.25">
      <c r="A5" t="s">
        <v>107</v>
      </c>
    </row>
    <row r="6" spans="1:8" x14ac:dyDescent="0.25">
      <c r="A6" t="s">
        <v>108</v>
      </c>
    </row>
    <row r="7" spans="1:8" x14ac:dyDescent="0.25">
      <c r="A7" t="s">
        <v>109</v>
      </c>
    </row>
    <row r="12" spans="1:8" x14ac:dyDescent="0.25">
      <c r="A12" s="1" t="s">
        <v>3</v>
      </c>
    </row>
    <row r="13" spans="1:8" x14ac:dyDescent="0.25">
      <c r="A13" s="1"/>
    </row>
    <row r="14" spans="1:8" x14ac:dyDescent="0.25">
      <c r="A14" t="s">
        <v>33</v>
      </c>
    </row>
    <row r="15" spans="1:8" x14ac:dyDescent="0.25">
      <c r="A15" t="s">
        <v>30</v>
      </c>
    </row>
    <row r="17" spans="1:30" x14ac:dyDescent="0.25">
      <c r="A17" t="s">
        <v>34</v>
      </c>
      <c r="R17" s="4" t="s">
        <v>35</v>
      </c>
    </row>
    <row r="18" spans="1:30" x14ac:dyDescent="0.25">
      <c r="A18" s="53" t="s">
        <v>28</v>
      </c>
      <c r="R18" s="52" t="s">
        <v>36</v>
      </c>
      <c r="S18" s="52" t="s">
        <v>39</v>
      </c>
      <c r="T18" s="52" t="s">
        <v>42</v>
      </c>
    </row>
    <row r="19" spans="1:30" x14ac:dyDescent="0.25">
      <c r="A19" s="53" t="s">
        <v>48</v>
      </c>
      <c r="R19" s="52" t="s">
        <v>37</v>
      </c>
      <c r="S19" s="52" t="s">
        <v>40</v>
      </c>
      <c r="T19" s="52" t="s">
        <v>43</v>
      </c>
    </row>
    <row r="20" spans="1:30" x14ac:dyDescent="0.25">
      <c r="A20" s="53" t="s">
        <v>49</v>
      </c>
      <c r="R20" s="52" t="s">
        <v>38</v>
      </c>
      <c r="S20" s="52" t="s">
        <v>41</v>
      </c>
      <c r="T20" s="52" t="s">
        <v>44</v>
      </c>
    </row>
    <row r="21" spans="1:30" x14ac:dyDescent="0.25">
      <c r="A21" s="53" t="s">
        <v>32</v>
      </c>
    </row>
    <row r="22" spans="1:30" x14ac:dyDescent="0.25">
      <c r="S22" s="4"/>
    </row>
    <row r="23" spans="1:30" ht="15.75" thickBot="1" x14ac:dyDescent="0.3">
      <c r="A23" t="s">
        <v>64</v>
      </c>
    </row>
    <row r="24" spans="1:30" ht="15.75" thickBot="1" x14ac:dyDescent="0.3">
      <c r="A24" s="84" t="s">
        <v>5</v>
      </c>
      <c r="B24" s="85" t="s">
        <v>7</v>
      </c>
      <c r="C24" s="86" t="s">
        <v>8</v>
      </c>
      <c r="D24" s="86" t="s">
        <v>9</v>
      </c>
      <c r="E24" s="87" t="s">
        <v>10</v>
      </c>
      <c r="F24" s="85" t="s">
        <v>11</v>
      </c>
      <c r="G24" s="86" t="s">
        <v>12</v>
      </c>
      <c r="H24" s="86" t="s">
        <v>13</v>
      </c>
      <c r="I24" s="88" t="s">
        <v>14</v>
      </c>
      <c r="J24" s="87" t="s">
        <v>15</v>
      </c>
      <c r="K24" s="85" t="s">
        <v>16</v>
      </c>
      <c r="L24" s="86" t="s">
        <v>17</v>
      </c>
      <c r="M24" s="86" t="s">
        <v>18</v>
      </c>
      <c r="N24" s="87" t="s">
        <v>19</v>
      </c>
      <c r="O24" s="91" t="s">
        <v>20</v>
      </c>
      <c r="P24" s="91" t="s">
        <v>21</v>
      </c>
      <c r="Q24" s="88" t="s">
        <v>22</v>
      </c>
      <c r="R24" s="86" t="s">
        <v>23</v>
      </c>
      <c r="S24" s="86" t="s">
        <v>24</v>
      </c>
      <c r="T24" s="89" t="s">
        <v>25</v>
      </c>
      <c r="U24" s="1"/>
      <c r="V24" s="1"/>
      <c r="W24" s="1"/>
      <c r="X24" s="1"/>
      <c r="Y24" s="1"/>
      <c r="Z24" s="1"/>
      <c r="AA24" s="1"/>
      <c r="AB24" s="1"/>
      <c r="AC24" s="1"/>
      <c r="AD24" s="1"/>
    </row>
    <row r="25" spans="1:30" x14ac:dyDescent="0.25">
      <c r="A25" s="80">
        <v>1</v>
      </c>
      <c r="B25" s="81">
        <v>1</v>
      </c>
      <c r="C25" s="64">
        <v>0</v>
      </c>
      <c r="D25" s="64">
        <v>0</v>
      </c>
      <c r="E25" s="82">
        <v>0</v>
      </c>
      <c r="F25" s="81">
        <v>0</v>
      </c>
      <c r="G25" s="64">
        <v>0</v>
      </c>
      <c r="H25" s="64">
        <v>0</v>
      </c>
      <c r="I25" s="66">
        <v>0</v>
      </c>
      <c r="J25" s="82">
        <v>0</v>
      </c>
      <c r="K25" s="81">
        <v>2</v>
      </c>
      <c r="L25" s="64">
        <v>0</v>
      </c>
      <c r="M25" s="64">
        <v>5</v>
      </c>
      <c r="N25" s="82">
        <v>2</v>
      </c>
      <c r="O25" s="66">
        <v>3</v>
      </c>
      <c r="P25" s="66">
        <v>0</v>
      </c>
      <c r="Q25" s="64">
        <v>1</v>
      </c>
      <c r="R25" s="64">
        <v>4</v>
      </c>
      <c r="S25" s="64">
        <v>1</v>
      </c>
      <c r="T25" s="83">
        <v>2</v>
      </c>
    </row>
    <row r="26" spans="1:30" x14ac:dyDescent="0.25">
      <c r="A26" s="80">
        <v>2</v>
      </c>
      <c r="B26" s="81">
        <v>1</v>
      </c>
      <c r="C26" s="64">
        <v>0</v>
      </c>
      <c r="D26" s="64">
        <v>1</v>
      </c>
      <c r="E26" s="82">
        <v>0</v>
      </c>
      <c r="F26" s="81">
        <v>0</v>
      </c>
      <c r="G26" s="64">
        <v>1</v>
      </c>
      <c r="H26" s="64">
        <v>0</v>
      </c>
      <c r="I26" s="66">
        <v>1</v>
      </c>
      <c r="J26" s="82">
        <v>1</v>
      </c>
      <c r="K26" s="81">
        <v>3</v>
      </c>
      <c r="L26" s="64">
        <v>4</v>
      </c>
      <c r="M26" s="64">
        <v>4</v>
      </c>
      <c r="N26" s="82">
        <v>4</v>
      </c>
      <c r="O26" s="66">
        <v>3</v>
      </c>
      <c r="P26" s="66">
        <v>4</v>
      </c>
      <c r="Q26" s="64">
        <v>4</v>
      </c>
      <c r="R26" s="64">
        <v>3</v>
      </c>
      <c r="S26" s="64">
        <v>1</v>
      </c>
      <c r="T26" s="83">
        <v>4</v>
      </c>
    </row>
    <row r="27" spans="1:30" x14ac:dyDescent="0.25">
      <c r="A27" s="80">
        <v>3</v>
      </c>
      <c r="B27" s="81">
        <v>0</v>
      </c>
      <c r="C27" s="64">
        <v>0</v>
      </c>
      <c r="D27" s="64">
        <v>1</v>
      </c>
      <c r="E27" s="82">
        <v>0</v>
      </c>
      <c r="F27" s="81">
        <v>0</v>
      </c>
      <c r="G27" s="64">
        <v>0</v>
      </c>
      <c r="H27" s="64">
        <v>0</v>
      </c>
      <c r="I27" s="66">
        <v>0</v>
      </c>
      <c r="J27" s="82">
        <v>0</v>
      </c>
      <c r="K27" s="81">
        <v>3</v>
      </c>
      <c r="L27" s="64">
        <v>2</v>
      </c>
      <c r="M27" s="64">
        <v>4</v>
      </c>
      <c r="N27" s="82">
        <v>2</v>
      </c>
      <c r="O27" s="66">
        <v>3</v>
      </c>
      <c r="P27" s="66">
        <v>3</v>
      </c>
      <c r="Q27" s="64">
        <v>4</v>
      </c>
      <c r="R27" s="64">
        <v>2</v>
      </c>
      <c r="S27" s="64">
        <v>1</v>
      </c>
      <c r="T27" s="83">
        <v>3</v>
      </c>
    </row>
    <row r="28" spans="1:30" x14ac:dyDescent="0.25">
      <c r="A28" s="80">
        <v>4</v>
      </c>
      <c r="B28" s="81">
        <v>0</v>
      </c>
      <c r="C28" s="64">
        <v>1</v>
      </c>
      <c r="D28" s="64">
        <v>0</v>
      </c>
      <c r="E28" s="82">
        <v>0</v>
      </c>
      <c r="F28" s="81">
        <v>0</v>
      </c>
      <c r="G28" s="64">
        <v>1</v>
      </c>
      <c r="H28" s="64">
        <v>0</v>
      </c>
      <c r="I28" s="66">
        <v>0</v>
      </c>
      <c r="J28" s="82">
        <v>0</v>
      </c>
      <c r="K28" s="81">
        <v>3</v>
      </c>
      <c r="L28" s="64">
        <v>3</v>
      </c>
      <c r="M28" s="64">
        <v>3</v>
      </c>
      <c r="N28" s="82">
        <v>2</v>
      </c>
      <c r="O28" s="66">
        <v>4</v>
      </c>
      <c r="P28" s="66">
        <v>1</v>
      </c>
      <c r="Q28" s="64">
        <v>2</v>
      </c>
      <c r="R28" s="64">
        <v>3</v>
      </c>
      <c r="S28" s="64">
        <v>1</v>
      </c>
      <c r="T28" s="83">
        <v>1</v>
      </c>
    </row>
    <row r="29" spans="1:30" x14ac:dyDescent="0.25">
      <c r="A29" s="80">
        <v>5</v>
      </c>
      <c r="B29" s="81">
        <v>0</v>
      </c>
      <c r="C29" s="64">
        <v>0</v>
      </c>
      <c r="D29" s="64">
        <v>1</v>
      </c>
      <c r="E29" s="82">
        <v>0</v>
      </c>
      <c r="F29" s="81">
        <v>0</v>
      </c>
      <c r="G29" s="64">
        <v>1</v>
      </c>
      <c r="H29" s="64">
        <v>0</v>
      </c>
      <c r="I29" s="66">
        <v>0</v>
      </c>
      <c r="J29" s="82">
        <v>0</v>
      </c>
      <c r="K29" s="81">
        <v>4</v>
      </c>
      <c r="L29" s="64">
        <v>1</v>
      </c>
      <c r="M29" s="64">
        <v>5</v>
      </c>
      <c r="N29" s="82">
        <v>3</v>
      </c>
      <c r="O29" s="66">
        <v>5</v>
      </c>
      <c r="P29" s="66">
        <v>1</v>
      </c>
      <c r="Q29" s="64">
        <v>2</v>
      </c>
      <c r="R29" s="64">
        <v>1</v>
      </c>
      <c r="S29" s="64">
        <v>2</v>
      </c>
      <c r="T29" s="83">
        <v>1</v>
      </c>
    </row>
    <row r="30" spans="1:30" x14ac:dyDescent="0.25">
      <c r="A30" s="80">
        <v>6</v>
      </c>
      <c r="B30" s="81">
        <v>0</v>
      </c>
      <c r="C30" s="64">
        <v>0</v>
      </c>
      <c r="D30" s="64">
        <v>0</v>
      </c>
      <c r="E30" s="82">
        <v>0</v>
      </c>
      <c r="F30" s="81">
        <v>0</v>
      </c>
      <c r="G30" s="64">
        <v>0</v>
      </c>
      <c r="H30" s="64">
        <v>1</v>
      </c>
      <c r="I30" s="66">
        <v>0</v>
      </c>
      <c r="J30" s="82">
        <v>0</v>
      </c>
      <c r="K30" s="81">
        <v>3</v>
      </c>
      <c r="L30" s="64">
        <v>1</v>
      </c>
      <c r="M30" s="64">
        <v>5</v>
      </c>
      <c r="N30" s="82">
        <v>3</v>
      </c>
      <c r="O30" s="66">
        <v>3</v>
      </c>
      <c r="P30" s="66">
        <v>0</v>
      </c>
      <c r="Q30" s="64">
        <v>1</v>
      </c>
      <c r="R30" s="64">
        <v>2</v>
      </c>
      <c r="S30" s="64">
        <v>2</v>
      </c>
      <c r="T30" s="83">
        <v>1</v>
      </c>
    </row>
    <row r="31" spans="1:30" x14ac:dyDescent="0.25">
      <c r="A31" s="80">
        <v>7</v>
      </c>
      <c r="B31" s="81">
        <v>0</v>
      </c>
      <c r="C31" s="64">
        <v>0</v>
      </c>
      <c r="D31" s="64">
        <v>0</v>
      </c>
      <c r="E31" s="82">
        <v>0</v>
      </c>
      <c r="F31" s="81">
        <v>0</v>
      </c>
      <c r="G31" s="64">
        <v>1</v>
      </c>
      <c r="H31" s="64">
        <v>0</v>
      </c>
      <c r="I31" s="66">
        <v>0</v>
      </c>
      <c r="J31" s="82">
        <v>0</v>
      </c>
      <c r="K31" s="81">
        <v>4</v>
      </c>
      <c r="L31" s="64">
        <v>2</v>
      </c>
      <c r="M31" s="64">
        <v>4</v>
      </c>
      <c r="N31" s="82">
        <v>1</v>
      </c>
      <c r="O31" s="66">
        <v>3</v>
      </c>
      <c r="P31" s="66">
        <v>1</v>
      </c>
      <c r="Q31" s="64">
        <v>2</v>
      </c>
      <c r="R31" s="64">
        <v>2</v>
      </c>
      <c r="S31" s="64">
        <v>1</v>
      </c>
      <c r="T31" s="83">
        <v>2</v>
      </c>
    </row>
    <row r="32" spans="1:30" x14ac:dyDescent="0.25">
      <c r="A32" s="80">
        <v>8</v>
      </c>
      <c r="B32" s="81">
        <v>0</v>
      </c>
      <c r="C32" s="64">
        <v>0</v>
      </c>
      <c r="D32" s="64">
        <v>1</v>
      </c>
      <c r="E32" s="82">
        <v>0</v>
      </c>
      <c r="F32" s="81">
        <v>1</v>
      </c>
      <c r="G32" s="64">
        <v>0</v>
      </c>
      <c r="H32" s="64">
        <v>0</v>
      </c>
      <c r="I32" s="66">
        <v>0</v>
      </c>
      <c r="J32" s="82">
        <v>1</v>
      </c>
      <c r="K32" s="81">
        <v>4</v>
      </c>
      <c r="L32" s="64">
        <v>1</v>
      </c>
      <c r="M32" s="64">
        <v>4</v>
      </c>
      <c r="N32" s="82">
        <v>1</v>
      </c>
      <c r="O32" s="66">
        <v>4</v>
      </c>
      <c r="P32" s="66">
        <v>1</v>
      </c>
      <c r="Q32" s="64">
        <v>3</v>
      </c>
      <c r="R32" s="64">
        <v>0</v>
      </c>
      <c r="S32" s="64">
        <v>1</v>
      </c>
      <c r="T32" s="83">
        <v>4</v>
      </c>
    </row>
    <row r="33" spans="1:30" x14ac:dyDescent="0.25">
      <c r="A33" s="80">
        <v>9</v>
      </c>
      <c r="B33" s="81">
        <v>0</v>
      </c>
      <c r="C33" s="64">
        <v>0</v>
      </c>
      <c r="D33" s="64">
        <v>0</v>
      </c>
      <c r="E33" s="82">
        <v>0</v>
      </c>
      <c r="F33" s="81">
        <v>0</v>
      </c>
      <c r="G33" s="64">
        <v>0</v>
      </c>
      <c r="H33" s="64">
        <v>0</v>
      </c>
      <c r="I33" s="66">
        <v>0</v>
      </c>
      <c r="J33" s="82">
        <v>0</v>
      </c>
      <c r="K33" s="81">
        <v>5</v>
      </c>
      <c r="L33" s="64">
        <v>2</v>
      </c>
      <c r="M33" s="64">
        <v>4</v>
      </c>
      <c r="N33" s="82">
        <v>4</v>
      </c>
      <c r="O33" s="66">
        <v>2</v>
      </c>
      <c r="P33" s="66">
        <v>1</v>
      </c>
      <c r="Q33" s="64">
        <v>4</v>
      </c>
      <c r="R33" s="64">
        <v>1</v>
      </c>
      <c r="S33" s="64">
        <v>1</v>
      </c>
      <c r="T33" s="83">
        <v>5</v>
      </c>
    </row>
    <row r="34" spans="1:30" x14ac:dyDescent="0.25">
      <c r="A34" s="80">
        <v>10</v>
      </c>
      <c r="B34" s="81">
        <v>0</v>
      </c>
      <c r="C34" s="64">
        <v>0</v>
      </c>
      <c r="D34" s="64">
        <v>0</v>
      </c>
      <c r="E34" s="82">
        <v>0</v>
      </c>
      <c r="F34" s="81">
        <v>0</v>
      </c>
      <c r="G34" s="64">
        <v>0</v>
      </c>
      <c r="H34" s="64">
        <v>0</v>
      </c>
      <c r="I34" s="66">
        <v>0</v>
      </c>
      <c r="J34" s="82">
        <v>0</v>
      </c>
      <c r="K34" s="81">
        <v>3</v>
      </c>
      <c r="L34" s="64">
        <v>2</v>
      </c>
      <c r="M34" s="64">
        <v>4</v>
      </c>
      <c r="N34" s="82">
        <v>0</v>
      </c>
      <c r="O34" s="66">
        <v>2</v>
      </c>
      <c r="P34" s="66">
        <v>1</v>
      </c>
      <c r="Q34" s="64">
        <v>4</v>
      </c>
      <c r="R34" s="64">
        <v>1</v>
      </c>
      <c r="S34" s="64">
        <v>1</v>
      </c>
      <c r="T34" s="83">
        <v>4</v>
      </c>
    </row>
    <row r="35" spans="1:30" x14ac:dyDescent="0.25">
      <c r="A35" s="80">
        <v>11</v>
      </c>
      <c r="B35" s="81">
        <v>0</v>
      </c>
      <c r="C35" s="64">
        <v>0</v>
      </c>
      <c r="D35" s="64">
        <v>0</v>
      </c>
      <c r="E35" s="82">
        <v>0</v>
      </c>
      <c r="F35" s="81">
        <v>0</v>
      </c>
      <c r="G35" s="64">
        <v>1</v>
      </c>
      <c r="H35" s="64">
        <v>0</v>
      </c>
      <c r="I35" s="66">
        <v>0</v>
      </c>
      <c r="J35" s="82">
        <v>0</v>
      </c>
      <c r="K35" s="81">
        <v>4</v>
      </c>
      <c r="L35" s="64">
        <v>2</v>
      </c>
      <c r="M35" s="64">
        <v>2</v>
      </c>
      <c r="N35" s="82">
        <v>2</v>
      </c>
      <c r="O35" s="66">
        <v>2</v>
      </c>
      <c r="P35" s="66">
        <v>1</v>
      </c>
      <c r="Q35" s="64">
        <v>3</v>
      </c>
      <c r="R35" s="64">
        <v>1</v>
      </c>
      <c r="S35" s="64">
        <v>1</v>
      </c>
      <c r="T35" s="83">
        <v>4</v>
      </c>
    </row>
    <row r="36" spans="1:30" x14ac:dyDescent="0.25">
      <c r="A36" s="80">
        <v>12</v>
      </c>
      <c r="B36" s="81">
        <v>0</v>
      </c>
      <c r="C36" s="64">
        <v>0</v>
      </c>
      <c r="D36" s="64">
        <v>0</v>
      </c>
      <c r="E36" s="82">
        <v>0</v>
      </c>
      <c r="F36" s="81">
        <v>0</v>
      </c>
      <c r="G36" s="64">
        <v>2</v>
      </c>
      <c r="H36" s="64">
        <v>1</v>
      </c>
      <c r="I36" s="66">
        <v>0</v>
      </c>
      <c r="J36" s="82">
        <v>0</v>
      </c>
      <c r="K36" s="81">
        <v>3</v>
      </c>
      <c r="L36" s="64">
        <v>1</v>
      </c>
      <c r="M36" s="64">
        <v>5</v>
      </c>
      <c r="N36" s="82">
        <v>2</v>
      </c>
      <c r="O36" s="66">
        <v>3</v>
      </c>
      <c r="P36" s="66">
        <v>2</v>
      </c>
      <c r="Q36" s="64">
        <v>1</v>
      </c>
      <c r="R36" s="64">
        <v>5</v>
      </c>
      <c r="S36" s="64">
        <v>2</v>
      </c>
      <c r="T36" s="83">
        <v>0</v>
      </c>
    </row>
    <row r="37" spans="1:30" x14ac:dyDescent="0.25">
      <c r="A37" s="80">
        <v>13</v>
      </c>
      <c r="B37" s="81">
        <v>0</v>
      </c>
      <c r="C37" s="64">
        <v>0</v>
      </c>
      <c r="D37" s="64">
        <v>0</v>
      </c>
      <c r="E37" s="82">
        <v>0</v>
      </c>
      <c r="F37" s="81">
        <v>0</v>
      </c>
      <c r="G37" s="64">
        <v>0</v>
      </c>
      <c r="H37" s="64">
        <v>0</v>
      </c>
      <c r="I37" s="66">
        <v>0</v>
      </c>
      <c r="J37" s="82">
        <v>0</v>
      </c>
      <c r="K37" s="81">
        <v>3</v>
      </c>
      <c r="L37" s="64">
        <v>0</v>
      </c>
      <c r="M37" s="64">
        <v>3</v>
      </c>
      <c r="N37" s="82">
        <v>0</v>
      </c>
      <c r="O37" s="66">
        <v>2</v>
      </c>
      <c r="P37" s="66">
        <v>0</v>
      </c>
      <c r="Q37" s="64">
        <v>4</v>
      </c>
      <c r="R37" s="64">
        <v>4</v>
      </c>
      <c r="S37" s="64">
        <v>1</v>
      </c>
      <c r="T37" s="83">
        <v>4</v>
      </c>
    </row>
    <row r="38" spans="1:30" x14ac:dyDescent="0.25">
      <c r="A38" s="80">
        <v>14</v>
      </c>
      <c r="B38" s="81">
        <v>0</v>
      </c>
      <c r="C38" s="64">
        <v>0</v>
      </c>
      <c r="D38" s="64">
        <v>0</v>
      </c>
      <c r="E38" s="82">
        <v>0</v>
      </c>
      <c r="F38" s="81">
        <v>0</v>
      </c>
      <c r="G38" s="64">
        <v>0</v>
      </c>
      <c r="H38" s="64">
        <v>0</v>
      </c>
      <c r="I38" s="66">
        <v>1</v>
      </c>
      <c r="J38" s="82">
        <v>0</v>
      </c>
      <c r="K38" s="81">
        <v>4</v>
      </c>
      <c r="L38" s="64">
        <v>2</v>
      </c>
      <c r="M38" s="64">
        <v>4</v>
      </c>
      <c r="N38" s="82">
        <v>0</v>
      </c>
      <c r="O38" s="66">
        <v>3</v>
      </c>
      <c r="P38" s="66">
        <v>1</v>
      </c>
      <c r="Q38" s="64">
        <v>2</v>
      </c>
      <c r="R38" s="64">
        <v>4</v>
      </c>
      <c r="S38" s="64">
        <v>0</v>
      </c>
      <c r="T38" s="83">
        <v>4</v>
      </c>
    </row>
    <row r="39" spans="1:30" x14ac:dyDescent="0.25">
      <c r="A39" s="80">
        <v>15</v>
      </c>
      <c r="B39" s="81">
        <v>0</v>
      </c>
      <c r="C39" s="64">
        <v>0</v>
      </c>
      <c r="D39" s="64">
        <v>0</v>
      </c>
      <c r="E39" s="82">
        <v>0</v>
      </c>
      <c r="F39" s="81">
        <v>0</v>
      </c>
      <c r="G39" s="64">
        <v>0</v>
      </c>
      <c r="H39" s="64">
        <v>0</v>
      </c>
      <c r="I39" s="66">
        <v>0</v>
      </c>
      <c r="J39" s="82">
        <v>0</v>
      </c>
      <c r="K39" s="81">
        <v>5</v>
      </c>
      <c r="L39" s="64">
        <v>3</v>
      </c>
      <c r="M39" s="64">
        <v>3</v>
      </c>
      <c r="N39" s="82">
        <v>2</v>
      </c>
      <c r="O39" s="66">
        <v>2</v>
      </c>
      <c r="P39" s="66">
        <v>0</v>
      </c>
      <c r="Q39" s="64">
        <v>3</v>
      </c>
      <c r="R39" s="64">
        <v>3</v>
      </c>
      <c r="S39" s="64">
        <v>1</v>
      </c>
      <c r="T39" s="83">
        <v>3</v>
      </c>
    </row>
    <row r="40" spans="1:30" x14ac:dyDescent="0.25">
      <c r="A40" s="80">
        <v>16</v>
      </c>
      <c r="B40" s="81">
        <v>0</v>
      </c>
      <c r="C40" s="64">
        <v>0</v>
      </c>
      <c r="D40" s="64">
        <v>0</v>
      </c>
      <c r="E40" s="82">
        <v>0</v>
      </c>
      <c r="F40" s="81">
        <v>0</v>
      </c>
      <c r="G40" s="64">
        <v>0</v>
      </c>
      <c r="H40" s="64">
        <v>0</v>
      </c>
      <c r="I40" s="66">
        <v>0</v>
      </c>
      <c r="J40" s="82">
        <v>0</v>
      </c>
      <c r="K40" s="81">
        <v>5</v>
      </c>
      <c r="L40" s="64">
        <v>2</v>
      </c>
      <c r="M40" s="64">
        <v>2</v>
      </c>
      <c r="N40" s="82">
        <v>2</v>
      </c>
      <c r="O40" s="66">
        <v>2</v>
      </c>
      <c r="P40" s="66">
        <v>1</v>
      </c>
      <c r="Q40" s="64">
        <v>2</v>
      </c>
      <c r="R40" s="64">
        <v>5</v>
      </c>
      <c r="S40" s="64">
        <v>1</v>
      </c>
      <c r="T40" s="83">
        <v>5</v>
      </c>
    </row>
    <row r="41" spans="1:30" x14ac:dyDescent="0.25">
      <c r="A41" s="80">
        <v>17</v>
      </c>
      <c r="B41" s="81">
        <v>0</v>
      </c>
      <c r="C41" s="64">
        <v>0</v>
      </c>
      <c r="D41" s="64">
        <v>0</v>
      </c>
      <c r="E41" s="82">
        <v>1</v>
      </c>
      <c r="F41" s="81">
        <v>0</v>
      </c>
      <c r="G41" s="64">
        <v>0</v>
      </c>
      <c r="H41" s="64">
        <v>0</v>
      </c>
      <c r="I41" s="66">
        <v>0</v>
      </c>
      <c r="J41" s="82">
        <v>0</v>
      </c>
      <c r="K41" s="81">
        <v>4</v>
      </c>
      <c r="L41" s="64">
        <v>2</v>
      </c>
      <c r="M41" s="64">
        <v>2</v>
      </c>
      <c r="N41" s="82">
        <v>2</v>
      </c>
      <c r="O41" s="66">
        <v>2</v>
      </c>
      <c r="P41" s="66">
        <v>1</v>
      </c>
      <c r="Q41" s="64">
        <v>3</v>
      </c>
      <c r="R41" s="64">
        <v>5</v>
      </c>
      <c r="S41" s="64">
        <v>0</v>
      </c>
      <c r="T41" s="83">
        <v>1</v>
      </c>
    </row>
    <row r="42" spans="1:30" x14ac:dyDescent="0.25">
      <c r="A42" s="80">
        <v>18</v>
      </c>
      <c r="B42" s="81">
        <v>0</v>
      </c>
      <c r="C42" s="64">
        <v>0</v>
      </c>
      <c r="D42" s="64">
        <v>0</v>
      </c>
      <c r="E42" s="82">
        <v>0</v>
      </c>
      <c r="F42" s="81">
        <v>0</v>
      </c>
      <c r="G42" s="64">
        <v>0</v>
      </c>
      <c r="H42" s="64">
        <v>0</v>
      </c>
      <c r="I42" s="66">
        <v>0</v>
      </c>
      <c r="J42" s="82">
        <v>1</v>
      </c>
      <c r="K42" s="81">
        <v>2</v>
      </c>
      <c r="L42" s="64">
        <v>1</v>
      </c>
      <c r="M42" s="64">
        <v>4</v>
      </c>
      <c r="N42" s="82">
        <v>1</v>
      </c>
      <c r="O42" s="66">
        <v>1</v>
      </c>
      <c r="P42" s="66">
        <v>0</v>
      </c>
      <c r="Q42" s="64">
        <v>1</v>
      </c>
      <c r="R42" s="64">
        <v>3</v>
      </c>
      <c r="S42" s="64">
        <v>0</v>
      </c>
      <c r="T42" s="83">
        <v>2</v>
      </c>
    </row>
    <row r="43" spans="1:30" x14ac:dyDescent="0.25">
      <c r="A43" s="80">
        <v>19</v>
      </c>
      <c r="B43" s="81">
        <v>0</v>
      </c>
      <c r="C43" s="64">
        <v>1</v>
      </c>
      <c r="D43" s="64">
        <v>0</v>
      </c>
      <c r="E43" s="82">
        <v>0</v>
      </c>
      <c r="F43" s="81">
        <v>0</v>
      </c>
      <c r="G43" s="64">
        <v>0</v>
      </c>
      <c r="H43" s="64">
        <v>0</v>
      </c>
      <c r="I43" s="66">
        <v>0</v>
      </c>
      <c r="J43" s="82">
        <v>1</v>
      </c>
      <c r="K43" s="81">
        <v>3</v>
      </c>
      <c r="L43" s="64">
        <v>2</v>
      </c>
      <c r="M43" s="64">
        <v>2</v>
      </c>
      <c r="N43" s="82">
        <v>2</v>
      </c>
      <c r="O43" s="66">
        <v>2</v>
      </c>
      <c r="P43" s="66">
        <v>1</v>
      </c>
      <c r="Q43" s="64">
        <v>1</v>
      </c>
      <c r="R43" s="64">
        <v>1</v>
      </c>
      <c r="S43" s="64">
        <v>1</v>
      </c>
      <c r="T43" s="83">
        <v>1</v>
      </c>
    </row>
    <row r="44" spans="1:30" ht="15.75" thickBot="1" x14ac:dyDescent="0.3">
      <c r="A44" s="80">
        <v>20</v>
      </c>
      <c r="B44" s="81">
        <v>0</v>
      </c>
      <c r="C44" s="64">
        <v>0</v>
      </c>
      <c r="D44" s="64">
        <v>0</v>
      </c>
      <c r="E44" s="82">
        <v>0</v>
      </c>
      <c r="F44" s="81">
        <v>0</v>
      </c>
      <c r="G44" s="64">
        <v>1</v>
      </c>
      <c r="H44" s="64">
        <v>0</v>
      </c>
      <c r="I44" s="66">
        <v>0</v>
      </c>
      <c r="J44" s="82">
        <v>0</v>
      </c>
      <c r="K44" s="81">
        <v>3</v>
      </c>
      <c r="L44" s="64">
        <v>1</v>
      </c>
      <c r="M44" s="64">
        <v>5</v>
      </c>
      <c r="N44" s="82">
        <v>1</v>
      </c>
      <c r="O44" s="66">
        <v>2</v>
      </c>
      <c r="P44" s="66">
        <v>2</v>
      </c>
      <c r="Q44" s="64">
        <v>2</v>
      </c>
      <c r="R44" s="64">
        <v>1</v>
      </c>
      <c r="S44" s="64">
        <v>0</v>
      </c>
      <c r="T44" s="83">
        <v>0</v>
      </c>
    </row>
    <row r="45" spans="1:30" ht="15.75" thickBot="1" x14ac:dyDescent="0.3">
      <c r="A45" s="90" t="s">
        <v>4</v>
      </c>
      <c r="B45" s="85">
        <v>0.1</v>
      </c>
      <c r="C45" s="86">
        <v>0.1</v>
      </c>
      <c r="D45" s="86">
        <v>0.2</v>
      </c>
      <c r="E45" s="87">
        <v>0.05</v>
      </c>
      <c r="F45" s="85">
        <v>0.05</v>
      </c>
      <c r="G45" s="86">
        <v>0.4</v>
      </c>
      <c r="H45" s="86">
        <v>0.1</v>
      </c>
      <c r="I45" s="88">
        <v>0.1</v>
      </c>
      <c r="J45" s="87">
        <v>0.2</v>
      </c>
      <c r="K45" s="85">
        <v>3.5</v>
      </c>
      <c r="L45" s="86">
        <v>1.7</v>
      </c>
      <c r="M45" s="86">
        <v>3.7</v>
      </c>
      <c r="N45" s="87">
        <v>1.8</v>
      </c>
      <c r="O45" s="88">
        <v>2.65</v>
      </c>
      <c r="P45" s="88">
        <v>1.1000000000000001</v>
      </c>
      <c r="Q45" s="86">
        <v>2.4500000000000002</v>
      </c>
      <c r="R45" s="86">
        <v>2.5499999999999998</v>
      </c>
      <c r="S45" s="86">
        <v>0.95</v>
      </c>
      <c r="T45" s="89">
        <v>2.5499999999999998</v>
      </c>
      <c r="U45" s="1"/>
      <c r="V45" s="1"/>
      <c r="W45" s="1"/>
      <c r="X45" s="1"/>
      <c r="Y45" s="1"/>
      <c r="Z45" s="1"/>
      <c r="AA45" s="1"/>
      <c r="AB45" s="1"/>
      <c r="AC45" s="1"/>
      <c r="AD45" s="1"/>
    </row>
    <row r="47" spans="1:30" ht="15.75" thickBot="1" x14ac:dyDescent="0.3">
      <c r="A47" t="s">
        <v>82</v>
      </c>
    </row>
    <row r="48" spans="1:30" ht="15.75" thickBot="1" x14ac:dyDescent="0.3">
      <c r="A48" s="84" t="s">
        <v>5</v>
      </c>
      <c r="B48" s="85" t="s">
        <v>7</v>
      </c>
      <c r="C48" s="86" t="s">
        <v>8</v>
      </c>
      <c r="D48" s="86" t="s">
        <v>9</v>
      </c>
      <c r="E48" s="87" t="s">
        <v>10</v>
      </c>
      <c r="F48" s="85" t="s">
        <v>11</v>
      </c>
      <c r="G48" s="86" t="s">
        <v>12</v>
      </c>
      <c r="H48" s="86" t="s">
        <v>13</v>
      </c>
      <c r="I48" s="88" t="s">
        <v>14</v>
      </c>
      <c r="J48" s="87" t="s">
        <v>15</v>
      </c>
      <c r="K48" s="85" t="s">
        <v>16</v>
      </c>
      <c r="L48" s="86" t="s">
        <v>17</v>
      </c>
      <c r="M48" s="86" t="s">
        <v>18</v>
      </c>
      <c r="N48" s="87" t="s">
        <v>19</v>
      </c>
      <c r="O48" s="85" t="s">
        <v>20</v>
      </c>
      <c r="P48" s="86" t="s">
        <v>21</v>
      </c>
      <c r="Q48" s="88" t="s">
        <v>22</v>
      </c>
      <c r="R48" s="86" t="s">
        <v>23</v>
      </c>
      <c r="S48" s="86" t="s">
        <v>24</v>
      </c>
      <c r="T48" s="89" t="s">
        <v>25</v>
      </c>
    </row>
    <row r="49" spans="1:20" x14ac:dyDescent="0.25">
      <c r="A49" s="80">
        <v>1</v>
      </c>
      <c r="B49" s="81">
        <v>2</v>
      </c>
      <c r="C49" s="64">
        <v>0</v>
      </c>
      <c r="D49" s="64">
        <v>0</v>
      </c>
      <c r="E49" s="82">
        <v>0</v>
      </c>
      <c r="F49" s="81">
        <v>0</v>
      </c>
      <c r="G49" s="64">
        <v>0</v>
      </c>
      <c r="H49" s="64">
        <v>0</v>
      </c>
      <c r="I49" s="66">
        <v>1</v>
      </c>
      <c r="J49" s="82">
        <v>0</v>
      </c>
      <c r="K49" s="81">
        <v>2</v>
      </c>
      <c r="L49" s="64">
        <v>0</v>
      </c>
      <c r="M49" s="64">
        <v>5</v>
      </c>
      <c r="N49" s="82">
        <v>2</v>
      </c>
      <c r="O49" s="66">
        <v>4</v>
      </c>
      <c r="P49" s="66">
        <v>0</v>
      </c>
      <c r="Q49" s="64">
        <v>2</v>
      </c>
      <c r="R49" s="64">
        <v>4</v>
      </c>
      <c r="S49" s="64">
        <v>1</v>
      </c>
      <c r="T49" s="83">
        <v>2</v>
      </c>
    </row>
    <row r="50" spans="1:20" x14ac:dyDescent="0.25">
      <c r="A50" s="80">
        <v>2</v>
      </c>
      <c r="B50" s="81">
        <v>1</v>
      </c>
      <c r="C50" s="64">
        <v>0</v>
      </c>
      <c r="D50" s="64">
        <v>1</v>
      </c>
      <c r="E50" s="82">
        <v>0</v>
      </c>
      <c r="F50" s="81">
        <v>0</v>
      </c>
      <c r="G50" s="64">
        <v>1</v>
      </c>
      <c r="H50" s="64">
        <v>0</v>
      </c>
      <c r="I50" s="66">
        <v>1</v>
      </c>
      <c r="J50" s="82">
        <v>1</v>
      </c>
      <c r="K50" s="81">
        <v>3</v>
      </c>
      <c r="L50" s="64">
        <v>4</v>
      </c>
      <c r="M50" s="64">
        <v>4</v>
      </c>
      <c r="N50" s="82">
        <v>4</v>
      </c>
      <c r="O50" s="66">
        <v>3</v>
      </c>
      <c r="P50" s="66">
        <v>4</v>
      </c>
      <c r="Q50" s="64">
        <v>4</v>
      </c>
      <c r="R50" s="64">
        <v>4</v>
      </c>
      <c r="S50" s="64">
        <v>1</v>
      </c>
      <c r="T50" s="83">
        <v>4</v>
      </c>
    </row>
    <row r="51" spans="1:20" x14ac:dyDescent="0.25">
      <c r="A51" s="80">
        <v>3</v>
      </c>
      <c r="B51" s="81">
        <v>0</v>
      </c>
      <c r="C51" s="64">
        <v>0</v>
      </c>
      <c r="D51" s="64">
        <v>2</v>
      </c>
      <c r="E51" s="82">
        <v>0</v>
      </c>
      <c r="F51" s="81">
        <v>0</v>
      </c>
      <c r="G51" s="64">
        <v>0</v>
      </c>
      <c r="H51" s="64">
        <v>0</v>
      </c>
      <c r="I51" s="66">
        <v>0</v>
      </c>
      <c r="J51" s="82">
        <v>0</v>
      </c>
      <c r="K51" s="81">
        <v>2</v>
      </c>
      <c r="L51" s="64">
        <v>2</v>
      </c>
      <c r="M51" s="64">
        <v>4</v>
      </c>
      <c r="N51" s="82">
        <v>2</v>
      </c>
      <c r="O51" s="66">
        <v>3</v>
      </c>
      <c r="P51" s="66">
        <v>4</v>
      </c>
      <c r="Q51" s="64">
        <v>4</v>
      </c>
      <c r="R51" s="64">
        <v>2</v>
      </c>
      <c r="S51" s="64">
        <v>1</v>
      </c>
      <c r="T51" s="83">
        <v>3</v>
      </c>
    </row>
    <row r="52" spans="1:20" x14ac:dyDescent="0.25">
      <c r="A52" s="80">
        <v>4</v>
      </c>
      <c r="B52" s="81">
        <v>0</v>
      </c>
      <c r="C52" s="64">
        <v>1</v>
      </c>
      <c r="D52" s="64">
        <v>1</v>
      </c>
      <c r="E52" s="82">
        <v>1</v>
      </c>
      <c r="F52" s="81">
        <v>0</v>
      </c>
      <c r="G52" s="64">
        <v>1</v>
      </c>
      <c r="H52" s="64">
        <v>0</v>
      </c>
      <c r="I52" s="66">
        <v>0</v>
      </c>
      <c r="J52" s="82">
        <v>0</v>
      </c>
      <c r="K52" s="81">
        <v>3</v>
      </c>
      <c r="L52" s="64">
        <v>3</v>
      </c>
      <c r="M52" s="64">
        <v>3</v>
      </c>
      <c r="N52" s="82">
        <v>2</v>
      </c>
      <c r="O52" s="66">
        <v>4</v>
      </c>
      <c r="P52" s="66">
        <v>1</v>
      </c>
      <c r="Q52" s="64">
        <v>2</v>
      </c>
      <c r="R52" s="64">
        <v>3</v>
      </c>
      <c r="S52" s="64">
        <v>2</v>
      </c>
      <c r="T52" s="83">
        <v>1</v>
      </c>
    </row>
    <row r="53" spans="1:20" x14ac:dyDescent="0.25">
      <c r="A53" s="80">
        <v>5</v>
      </c>
      <c r="B53" s="81">
        <v>0</v>
      </c>
      <c r="C53" s="64">
        <v>0</v>
      </c>
      <c r="D53" s="64">
        <v>1</v>
      </c>
      <c r="E53" s="82">
        <v>0</v>
      </c>
      <c r="F53" s="81">
        <v>0</v>
      </c>
      <c r="G53" s="64">
        <v>2</v>
      </c>
      <c r="H53" s="64">
        <v>0</v>
      </c>
      <c r="I53" s="66">
        <v>1</v>
      </c>
      <c r="J53" s="82">
        <v>0</v>
      </c>
      <c r="K53" s="81">
        <v>4</v>
      </c>
      <c r="L53" s="64">
        <v>1</v>
      </c>
      <c r="M53" s="64">
        <v>5</v>
      </c>
      <c r="N53" s="82">
        <v>3</v>
      </c>
      <c r="O53" s="66">
        <v>5</v>
      </c>
      <c r="P53" s="66">
        <v>1</v>
      </c>
      <c r="Q53" s="64">
        <v>2</v>
      </c>
      <c r="R53" s="64">
        <v>1</v>
      </c>
      <c r="S53" s="64">
        <v>2</v>
      </c>
      <c r="T53" s="83">
        <v>2</v>
      </c>
    </row>
    <row r="54" spans="1:20" x14ac:dyDescent="0.25">
      <c r="A54" s="80">
        <v>6</v>
      </c>
      <c r="B54" s="81">
        <v>0</v>
      </c>
      <c r="C54" s="64">
        <v>0</v>
      </c>
      <c r="D54" s="64">
        <v>0</v>
      </c>
      <c r="E54" s="82">
        <v>0</v>
      </c>
      <c r="F54" s="81">
        <v>0</v>
      </c>
      <c r="G54" s="64">
        <v>0</v>
      </c>
      <c r="H54" s="64">
        <v>1</v>
      </c>
      <c r="I54" s="66">
        <v>1</v>
      </c>
      <c r="J54" s="82">
        <v>0</v>
      </c>
      <c r="K54" s="81">
        <v>3</v>
      </c>
      <c r="L54" s="64">
        <v>1</v>
      </c>
      <c r="M54" s="64">
        <v>5</v>
      </c>
      <c r="N54" s="82">
        <v>3</v>
      </c>
      <c r="O54" s="66">
        <v>3</v>
      </c>
      <c r="P54" s="66">
        <v>0</v>
      </c>
      <c r="Q54" s="64">
        <v>2</v>
      </c>
      <c r="R54" s="64">
        <v>2</v>
      </c>
      <c r="S54" s="64">
        <v>2</v>
      </c>
      <c r="T54" s="83">
        <v>0</v>
      </c>
    </row>
    <row r="55" spans="1:20" x14ac:dyDescent="0.25">
      <c r="A55" s="80">
        <v>7</v>
      </c>
      <c r="B55" s="81">
        <v>0</v>
      </c>
      <c r="C55" s="64">
        <v>0</v>
      </c>
      <c r="D55" s="64">
        <v>0</v>
      </c>
      <c r="E55" s="82">
        <v>0</v>
      </c>
      <c r="F55" s="81">
        <v>0</v>
      </c>
      <c r="G55" s="64">
        <v>1</v>
      </c>
      <c r="H55" s="64">
        <v>0</v>
      </c>
      <c r="I55" s="66">
        <v>0</v>
      </c>
      <c r="J55" s="82">
        <v>0</v>
      </c>
      <c r="K55" s="81">
        <v>4</v>
      </c>
      <c r="L55" s="64">
        <v>2</v>
      </c>
      <c r="M55" s="64">
        <v>4</v>
      </c>
      <c r="N55" s="82">
        <v>2</v>
      </c>
      <c r="O55" s="66">
        <v>3</v>
      </c>
      <c r="P55" s="66">
        <v>1</v>
      </c>
      <c r="Q55" s="64">
        <v>2</v>
      </c>
      <c r="R55" s="64">
        <v>2</v>
      </c>
      <c r="S55" s="64">
        <v>1</v>
      </c>
      <c r="T55" s="83">
        <v>2</v>
      </c>
    </row>
    <row r="56" spans="1:20" x14ac:dyDescent="0.25">
      <c r="A56" s="80">
        <v>8</v>
      </c>
      <c r="B56" s="81">
        <v>0</v>
      </c>
      <c r="C56" s="64">
        <v>0</v>
      </c>
      <c r="D56" s="64">
        <v>1</v>
      </c>
      <c r="E56" s="82">
        <v>0</v>
      </c>
      <c r="F56" s="81">
        <v>0</v>
      </c>
      <c r="G56" s="64">
        <v>0</v>
      </c>
      <c r="H56" s="64">
        <v>0</v>
      </c>
      <c r="I56" s="66">
        <v>0</v>
      </c>
      <c r="J56" s="82">
        <v>2</v>
      </c>
      <c r="K56" s="81">
        <v>4</v>
      </c>
      <c r="L56" s="64">
        <v>1</v>
      </c>
      <c r="M56" s="64">
        <v>5</v>
      </c>
      <c r="N56" s="82">
        <v>1</v>
      </c>
      <c r="O56" s="66">
        <v>5</v>
      </c>
      <c r="P56" s="66">
        <v>2</v>
      </c>
      <c r="Q56" s="64">
        <v>3</v>
      </c>
      <c r="R56" s="64">
        <v>0</v>
      </c>
      <c r="S56" s="64">
        <v>1</v>
      </c>
      <c r="T56" s="83">
        <v>4</v>
      </c>
    </row>
    <row r="57" spans="1:20" x14ac:dyDescent="0.25">
      <c r="A57" s="80">
        <v>9</v>
      </c>
      <c r="B57" s="81">
        <v>0</v>
      </c>
      <c r="C57" s="64">
        <v>0</v>
      </c>
      <c r="D57" s="64">
        <v>0</v>
      </c>
      <c r="E57" s="82">
        <v>0</v>
      </c>
      <c r="F57" s="81">
        <v>0</v>
      </c>
      <c r="G57" s="64">
        <v>0</v>
      </c>
      <c r="H57" s="64">
        <v>0</v>
      </c>
      <c r="I57" s="66">
        <v>0</v>
      </c>
      <c r="J57" s="82">
        <v>0</v>
      </c>
      <c r="K57" s="81">
        <v>5</v>
      </c>
      <c r="L57" s="64">
        <v>2</v>
      </c>
      <c r="M57" s="64">
        <v>4</v>
      </c>
      <c r="N57" s="82">
        <v>4</v>
      </c>
      <c r="O57" s="66">
        <v>2</v>
      </c>
      <c r="P57" s="66">
        <v>1</v>
      </c>
      <c r="Q57" s="64">
        <v>5</v>
      </c>
      <c r="R57" s="64">
        <v>0</v>
      </c>
      <c r="S57" s="64">
        <v>1</v>
      </c>
      <c r="T57" s="83">
        <v>5</v>
      </c>
    </row>
    <row r="58" spans="1:20" x14ac:dyDescent="0.25">
      <c r="A58" s="80">
        <v>10</v>
      </c>
      <c r="B58" s="81">
        <v>0</v>
      </c>
      <c r="C58" s="64">
        <v>0</v>
      </c>
      <c r="D58" s="64">
        <v>0</v>
      </c>
      <c r="E58" s="82">
        <v>0</v>
      </c>
      <c r="F58" s="81">
        <v>0</v>
      </c>
      <c r="G58" s="64">
        <v>0</v>
      </c>
      <c r="H58" s="64">
        <v>0</v>
      </c>
      <c r="I58" s="66">
        <v>0</v>
      </c>
      <c r="J58" s="82">
        <v>0</v>
      </c>
      <c r="K58" s="81">
        <v>3</v>
      </c>
      <c r="L58" s="64">
        <v>2</v>
      </c>
      <c r="M58" s="64">
        <v>4</v>
      </c>
      <c r="N58" s="82">
        <v>0</v>
      </c>
      <c r="O58" s="66">
        <v>2</v>
      </c>
      <c r="P58" s="66">
        <v>1</v>
      </c>
      <c r="Q58" s="64">
        <v>4</v>
      </c>
      <c r="R58" s="64">
        <v>1</v>
      </c>
      <c r="S58" s="64">
        <v>2</v>
      </c>
      <c r="T58" s="83">
        <v>4</v>
      </c>
    </row>
    <row r="59" spans="1:20" x14ac:dyDescent="0.25">
      <c r="A59" s="80">
        <v>11</v>
      </c>
      <c r="B59" s="81">
        <v>1</v>
      </c>
      <c r="C59" s="64">
        <v>0</v>
      </c>
      <c r="D59" s="64">
        <v>0</v>
      </c>
      <c r="E59" s="82">
        <v>0</v>
      </c>
      <c r="F59" s="81">
        <v>0</v>
      </c>
      <c r="G59" s="64">
        <v>1</v>
      </c>
      <c r="H59" s="64">
        <v>0</v>
      </c>
      <c r="I59" s="66">
        <v>0</v>
      </c>
      <c r="J59" s="82">
        <v>0</v>
      </c>
      <c r="K59" s="81">
        <v>4</v>
      </c>
      <c r="L59" s="64">
        <v>2</v>
      </c>
      <c r="M59" s="64">
        <v>2</v>
      </c>
      <c r="N59" s="82">
        <v>2</v>
      </c>
      <c r="O59" s="66">
        <v>1</v>
      </c>
      <c r="P59" s="66">
        <v>2</v>
      </c>
      <c r="Q59" s="64">
        <v>3</v>
      </c>
      <c r="R59" s="64">
        <v>2</v>
      </c>
      <c r="S59" s="64">
        <v>1</v>
      </c>
      <c r="T59" s="83">
        <v>5</v>
      </c>
    </row>
    <row r="60" spans="1:20" x14ac:dyDescent="0.25">
      <c r="A60" s="80">
        <v>12</v>
      </c>
      <c r="B60" s="81">
        <v>0</v>
      </c>
      <c r="C60" s="64">
        <v>0</v>
      </c>
      <c r="D60" s="64">
        <v>0</v>
      </c>
      <c r="E60" s="82">
        <v>1</v>
      </c>
      <c r="F60" s="81">
        <v>0</v>
      </c>
      <c r="G60" s="64">
        <v>3</v>
      </c>
      <c r="H60" s="64">
        <v>2</v>
      </c>
      <c r="I60" s="66">
        <v>0</v>
      </c>
      <c r="J60" s="82">
        <v>0</v>
      </c>
      <c r="K60" s="81">
        <v>3</v>
      </c>
      <c r="L60" s="64">
        <v>1</v>
      </c>
      <c r="M60" s="64">
        <v>5</v>
      </c>
      <c r="N60" s="82">
        <v>2</v>
      </c>
      <c r="O60" s="66">
        <v>3</v>
      </c>
      <c r="P60" s="66">
        <v>2</v>
      </c>
      <c r="Q60" s="64">
        <v>2</v>
      </c>
      <c r="R60" s="64">
        <v>5</v>
      </c>
      <c r="S60" s="64">
        <v>2</v>
      </c>
      <c r="T60" s="83">
        <v>0</v>
      </c>
    </row>
    <row r="61" spans="1:20" x14ac:dyDescent="0.25">
      <c r="A61" s="80">
        <v>13</v>
      </c>
      <c r="B61" s="81">
        <v>0</v>
      </c>
      <c r="C61" s="64">
        <v>0</v>
      </c>
      <c r="D61" s="64">
        <v>0</v>
      </c>
      <c r="E61" s="82">
        <v>0</v>
      </c>
      <c r="F61" s="81">
        <v>0</v>
      </c>
      <c r="G61" s="64">
        <v>0</v>
      </c>
      <c r="H61" s="64">
        <v>2</v>
      </c>
      <c r="I61" s="66">
        <v>0</v>
      </c>
      <c r="J61" s="82">
        <v>0</v>
      </c>
      <c r="K61" s="81">
        <v>3</v>
      </c>
      <c r="L61" s="64">
        <v>0</v>
      </c>
      <c r="M61" s="64">
        <v>3</v>
      </c>
      <c r="N61" s="82">
        <v>1</v>
      </c>
      <c r="O61" s="66">
        <v>2</v>
      </c>
      <c r="P61" s="66">
        <v>0</v>
      </c>
      <c r="Q61" s="64">
        <v>4</v>
      </c>
      <c r="R61" s="64">
        <v>5</v>
      </c>
      <c r="S61" s="64">
        <v>1</v>
      </c>
      <c r="T61" s="83">
        <v>4</v>
      </c>
    </row>
    <row r="62" spans="1:20" x14ac:dyDescent="0.25">
      <c r="A62" s="80">
        <v>14</v>
      </c>
      <c r="B62" s="81">
        <v>0</v>
      </c>
      <c r="C62" s="64">
        <v>0</v>
      </c>
      <c r="D62" s="64">
        <v>0</v>
      </c>
      <c r="E62" s="82">
        <v>0</v>
      </c>
      <c r="F62" s="81">
        <v>0</v>
      </c>
      <c r="G62" s="64">
        <v>0</v>
      </c>
      <c r="H62" s="64">
        <v>0</v>
      </c>
      <c r="I62" s="66">
        <v>1</v>
      </c>
      <c r="J62" s="82">
        <v>0</v>
      </c>
      <c r="K62" s="81">
        <v>4</v>
      </c>
      <c r="L62" s="64">
        <v>2</v>
      </c>
      <c r="M62" s="64">
        <v>4</v>
      </c>
      <c r="N62" s="82">
        <v>1</v>
      </c>
      <c r="O62" s="66">
        <v>3</v>
      </c>
      <c r="P62" s="66">
        <v>1</v>
      </c>
      <c r="Q62" s="64">
        <v>3</v>
      </c>
      <c r="R62" s="64">
        <v>4</v>
      </c>
      <c r="S62" s="64">
        <v>0</v>
      </c>
      <c r="T62" s="83">
        <v>4</v>
      </c>
    </row>
    <row r="63" spans="1:20" x14ac:dyDescent="0.25">
      <c r="A63" s="80">
        <v>15</v>
      </c>
      <c r="B63" s="81">
        <v>0</v>
      </c>
      <c r="C63" s="64">
        <v>0</v>
      </c>
      <c r="D63" s="64">
        <v>1</v>
      </c>
      <c r="E63" s="82">
        <v>0</v>
      </c>
      <c r="F63" s="81">
        <v>0</v>
      </c>
      <c r="G63" s="64">
        <v>0</v>
      </c>
      <c r="H63" s="64">
        <v>0</v>
      </c>
      <c r="I63" s="66">
        <v>0</v>
      </c>
      <c r="J63" s="82">
        <v>0</v>
      </c>
      <c r="K63" s="81">
        <v>5</v>
      </c>
      <c r="L63" s="64">
        <v>4</v>
      </c>
      <c r="M63" s="64">
        <v>4</v>
      </c>
      <c r="N63" s="82">
        <v>2</v>
      </c>
      <c r="O63" s="66">
        <v>3</v>
      </c>
      <c r="P63" s="66">
        <v>1</v>
      </c>
      <c r="Q63" s="64">
        <v>4</v>
      </c>
      <c r="R63" s="64">
        <v>3</v>
      </c>
      <c r="S63" s="64">
        <v>1</v>
      </c>
      <c r="T63" s="83">
        <v>3</v>
      </c>
    </row>
    <row r="64" spans="1:20" x14ac:dyDescent="0.25">
      <c r="A64" s="80">
        <v>16</v>
      </c>
      <c r="B64" s="81">
        <v>0</v>
      </c>
      <c r="C64" s="64">
        <v>0</v>
      </c>
      <c r="D64" s="64">
        <v>0</v>
      </c>
      <c r="E64" s="82">
        <v>0</v>
      </c>
      <c r="F64" s="81">
        <v>0</v>
      </c>
      <c r="G64" s="64">
        <v>0</v>
      </c>
      <c r="H64" s="64">
        <v>0</v>
      </c>
      <c r="I64" s="66">
        <v>1</v>
      </c>
      <c r="J64" s="82">
        <v>0</v>
      </c>
      <c r="K64" s="81">
        <v>4</v>
      </c>
      <c r="L64" s="64">
        <v>2</v>
      </c>
      <c r="M64" s="64">
        <v>2</v>
      </c>
      <c r="N64" s="82">
        <v>2</v>
      </c>
      <c r="O64" s="66">
        <v>2</v>
      </c>
      <c r="P64" s="66">
        <v>1</v>
      </c>
      <c r="Q64" s="64">
        <v>2</v>
      </c>
      <c r="R64" s="64">
        <v>5</v>
      </c>
      <c r="S64" s="64">
        <v>1</v>
      </c>
      <c r="T64" s="83">
        <v>6</v>
      </c>
    </row>
    <row r="65" spans="1:20" x14ac:dyDescent="0.25">
      <c r="A65" s="80">
        <v>17</v>
      </c>
      <c r="B65" s="81">
        <v>0</v>
      </c>
      <c r="C65" s="64">
        <v>0</v>
      </c>
      <c r="D65" s="64">
        <v>0</v>
      </c>
      <c r="E65" s="82">
        <v>1</v>
      </c>
      <c r="F65" s="81">
        <v>0</v>
      </c>
      <c r="G65" s="64">
        <v>0</v>
      </c>
      <c r="H65" s="64">
        <v>0</v>
      </c>
      <c r="I65" s="66">
        <v>0</v>
      </c>
      <c r="J65" s="82">
        <v>0</v>
      </c>
      <c r="K65" s="81">
        <v>4</v>
      </c>
      <c r="L65" s="64">
        <v>2</v>
      </c>
      <c r="M65" s="64">
        <v>2</v>
      </c>
      <c r="N65" s="82">
        <v>2</v>
      </c>
      <c r="O65" s="66">
        <v>2</v>
      </c>
      <c r="P65" s="66">
        <v>1</v>
      </c>
      <c r="Q65" s="64">
        <v>3</v>
      </c>
      <c r="R65" s="64">
        <v>6</v>
      </c>
      <c r="S65" s="64">
        <v>0</v>
      </c>
      <c r="T65" s="83">
        <v>1</v>
      </c>
    </row>
    <row r="66" spans="1:20" x14ac:dyDescent="0.25">
      <c r="A66" s="80">
        <v>18</v>
      </c>
      <c r="B66" s="81">
        <v>0</v>
      </c>
      <c r="C66" s="64">
        <v>0</v>
      </c>
      <c r="D66" s="64">
        <v>0</v>
      </c>
      <c r="E66" s="82">
        <v>0</v>
      </c>
      <c r="F66" s="81">
        <v>0</v>
      </c>
      <c r="G66" s="64">
        <v>0</v>
      </c>
      <c r="H66" s="64">
        <v>0</v>
      </c>
      <c r="I66" s="66">
        <v>0</v>
      </c>
      <c r="J66" s="82">
        <v>1</v>
      </c>
      <c r="K66" s="81">
        <v>2</v>
      </c>
      <c r="L66" s="64">
        <v>1</v>
      </c>
      <c r="M66" s="64">
        <v>4</v>
      </c>
      <c r="N66" s="82">
        <v>2</v>
      </c>
      <c r="O66" s="66">
        <v>1</v>
      </c>
      <c r="P66" s="66">
        <v>2</v>
      </c>
      <c r="Q66" s="64">
        <v>2</v>
      </c>
      <c r="R66" s="64">
        <v>3</v>
      </c>
      <c r="S66" s="64">
        <v>1</v>
      </c>
      <c r="T66" s="83">
        <v>2</v>
      </c>
    </row>
    <row r="67" spans="1:20" x14ac:dyDescent="0.25">
      <c r="A67" s="80">
        <v>19</v>
      </c>
      <c r="B67" s="81">
        <v>0</v>
      </c>
      <c r="C67" s="64">
        <v>1</v>
      </c>
      <c r="D67" s="64">
        <v>0</v>
      </c>
      <c r="E67" s="82">
        <v>0</v>
      </c>
      <c r="F67" s="81">
        <v>0</v>
      </c>
      <c r="G67" s="64">
        <v>0</v>
      </c>
      <c r="H67" s="64">
        <v>0</v>
      </c>
      <c r="I67" s="66">
        <v>0</v>
      </c>
      <c r="J67" s="82">
        <v>0</v>
      </c>
      <c r="K67" s="81">
        <v>3</v>
      </c>
      <c r="L67" s="64">
        <v>1</v>
      </c>
      <c r="M67" s="64">
        <v>2</v>
      </c>
      <c r="N67" s="82">
        <v>2</v>
      </c>
      <c r="O67" s="66">
        <v>2</v>
      </c>
      <c r="P67" s="66">
        <v>1</v>
      </c>
      <c r="Q67" s="64">
        <v>1</v>
      </c>
      <c r="R67" s="64">
        <v>2</v>
      </c>
      <c r="S67" s="64">
        <v>1</v>
      </c>
      <c r="T67" s="83">
        <v>2</v>
      </c>
    </row>
    <row r="68" spans="1:20" ht="15.75" thickBot="1" x14ac:dyDescent="0.3">
      <c r="A68" s="80">
        <v>20</v>
      </c>
      <c r="B68" s="81">
        <v>0</v>
      </c>
      <c r="C68" s="64">
        <v>0</v>
      </c>
      <c r="D68" s="64">
        <v>0</v>
      </c>
      <c r="E68" s="82">
        <v>0</v>
      </c>
      <c r="F68" s="81">
        <v>0</v>
      </c>
      <c r="G68" s="64">
        <v>1</v>
      </c>
      <c r="H68" s="64">
        <v>0</v>
      </c>
      <c r="I68" s="66">
        <v>0</v>
      </c>
      <c r="J68" s="82">
        <v>0</v>
      </c>
      <c r="K68" s="81">
        <v>3</v>
      </c>
      <c r="L68" s="64">
        <v>1</v>
      </c>
      <c r="M68" s="64">
        <v>5</v>
      </c>
      <c r="N68" s="82">
        <v>2</v>
      </c>
      <c r="O68" s="66">
        <v>2</v>
      </c>
      <c r="P68" s="66">
        <v>2</v>
      </c>
      <c r="Q68" s="64">
        <v>2</v>
      </c>
      <c r="R68" s="64">
        <v>1</v>
      </c>
      <c r="S68" s="64">
        <v>1</v>
      </c>
      <c r="T68" s="83">
        <v>0</v>
      </c>
    </row>
    <row r="69" spans="1:20" ht="15.75" thickBot="1" x14ac:dyDescent="0.3">
      <c r="A69" s="90" t="s">
        <v>4</v>
      </c>
      <c r="B69" s="85">
        <v>0.2</v>
      </c>
      <c r="C69" s="86">
        <v>0.1</v>
      </c>
      <c r="D69" s="86">
        <v>0.35</v>
      </c>
      <c r="E69" s="87">
        <v>0.15</v>
      </c>
      <c r="F69" s="85">
        <v>0</v>
      </c>
      <c r="G69" s="86">
        <v>0.5</v>
      </c>
      <c r="H69" s="86">
        <v>0.25</v>
      </c>
      <c r="I69" s="88">
        <v>0.3</v>
      </c>
      <c r="J69" s="87">
        <v>0.2</v>
      </c>
      <c r="K69" s="85">
        <v>3.4</v>
      </c>
      <c r="L69" s="86">
        <v>1.7</v>
      </c>
      <c r="M69" s="86">
        <v>3.8</v>
      </c>
      <c r="N69" s="87">
        <v>2.0499999999999998</v>
      </c>
      <c r="O69" s="88">
        <v>2.75</v>
      </c>
      <c r="P69" s="88">
        <v>1.4</v>
      </c>
      <c r="Q69" s="86">
        <v>2.8</v>
      </c>
      <c r="R69" s="86">
        <v>2.75</v>
      </c>
      <c r="S69" s="86">
        <v>1.1499999999999999</v>
      </c>
      <c r="T69" s="89">
        <v>2.7</v>
      </c>
    </row>
    <row r="70" spans="1:20" x14ac:dyDescent="0.25">
      <c r="B70" s="2"/>
    </row>
    <row r="71" spans="1:20" ht="15.75" thickBot="1" x14ac:dyDescent="0.3">
      <c r="A71" t="s">
        <v>83</v>
      </c>
    </row>
    <row r="72" spans="1:20" ht="15.75" thickBot="1" x14ac:dyDescent="0.3">
      <c r="A72" s="84" t="s">
        <v>5</v>
      </c>
      <c r="B72" s="85" t="s">
        <v>7</v>
      </c>
      <c r="C72" s="86" t="s">
        <v>8</v>
      </c>
      <c r="D72" s="86" t="s">
        <v>9</v>
      </c>
      <c r="E72" s="87" t="s">
        <v>10</v>
      </c>
      <c r="F72" s="85" t="s">
        <v>11</v>
      </c>
      <c r="G72" s="86" t="s">
        <v>12</v>
      </c>
      <c r="H72" s="86" t="s">
        <v>13</v>
      </c>
      <c r="I72" s="88" t="s">
        <v>14</v>
      </c>
      <c r="J72" s="87" t="s">
        <v>15</v>
      </c>
      <c r="K72" s="85" t="s">
        <v>16</v>
      </c>
      <c r="L72" s="86" t="s">
        <v>17</v>
      </c>
      <c r="M72" s="86" t="s">
        <v>18</v>
      </c>
      <c r="N72" s="87" t="s">
        <v>19</v>
      </c>
      <c r="O72" s="85" t="s">
        <v>20</v>
      </c>
      <c r="P72" s="86" t="s">
        <v>21</v>
      </c>
      <c r="Q72" s="88" t="s">
        <v>22</v>
      </c>
      <c r="R72" s="86" t="s">
        <v>23</v>
      </c>
      <c r="S72" s="86" t="s">
        <v>24</v>
      </c>
      <c r="T72" s="89" t="s">
        <v>25</v>
      </c>
    </row>
    <row r="73" spans="1:20" x14ac:dyDescent="0.25">
      <c r="A73" s="80">
        <v>1</v>
      </c>
      <c r="B73" s="81">
        <v>1</v>
      </c>
      <c r="C73" s="64">
        <v>1</v>
      </c>
      <c r="D73" s="64">
        <v>0</v>
      </c>
      <c r="E73" s="82">
        <v>0</v>
      </c>
      <c r="F73" s="81">
        <v>0</v>
      </c>
      <c r="G73" s="64">
        <v>0</v>
      </c>
      <c r="H73" s="64">
        <v>0</v>
      </c>
      <c r="I73" s="66">
        <v>1</v>
      </c>
      <c r="J73" s="82">
        <v>1</v>
      </c>
      <c r="K73" s="81">
        <v>0</v>
      </c>
      <c r="L73" s="64">
        <v>1</v>
      </c>
      <c r="M73" s="64">
        <v>6</v>
      </c>
      <c r="N73" s="82">
        <v>0</v>
      </c>
      <c r="O73" s="66">
        <v>5</v>
      </c>
      <c r="P73" s="66">
        <v>0</v>
      </c>
      <c r="Q73" s="64">
        <v>3</v>
      </c>
      <c r="R73" s="64">
        <v>5</v>
      </c>
      <c r="S73" s="64">
        <v>0</v>
      </c>
      <c r="T73" s="83">
        <v>1</v>
      </c>
    </row>
    <row r="74" spans="1:20" x14ac:dyDescent="0.25">
      <c r="A74" s="80">
        <v>2</v>
      </c>
      <c r="B74" s="81">
        <v>0</v>
      </c>
      <c r="C74" s="64">
        <v>0</v>
      </c>
      <c r="D74" s="64">
        <v>2</v>
      </c>
      <c r="E74" s="82">
        <v>0</v>
      </c>
      <c r="F74" s="81">
        <v>0</v>
      </c>
      <c r="G74" s="64">
        <v>0</v>
      </c>
      <c r="H74" s="64">
        <v>0</v>
      </c>
      <c r="I74" s="66">
        <v>0</v>
      </c>
      <c r="J74" s="82">
        <v>0</v>
      </c>
      <c r="K74" s="81">
        <v>0</v>
      </c>
      <c r="L74" s="64">
        <v>4</v>
      </c>
      <c r="M74" s="64">
        <v>4</v>
      </c>
      <c r="N74" s="82">
        <v>4</v>
      </c>
      <c r="O74" s="66">
        <v>1</v>
      </c>
      <c r="P74" s="66">
        <v>3</v>
      </c>
      <c r="Q74" s="64">
        <v>4</v>
      </c>
      <c r="R74" s="64">
        <v>5</v>
      </c>
      <c r="S74" s="64">
        <v>0</v>
      </c>
      <c r="T74" s="83">
        <v>4</v>
      </c>
    </row>
    <row r="75" spans="1:20" x14ac:dyDescent="0.25">
      <c r="A75" s="80">
        <v>3</v>
      </c>
      <c r="B75" s="81">
        <v>0</v>
      </c>
      <c r="C75" s="64">
        <v>1</v>
      </c>
      <c r="D75" s="64">
        <v>1</v>
      </c>
      <c r="E75" s="82">
        <v>0</v>
      </c>
      <c r="F75" s="81">
        <v>0</v>
      </c>
      <c r="G75" s="64">
        <v>0</v>
      </c>
      <c r="H75" s="64">
        <v>0</v>
      </c>
      <c r="I75" s="66">
        <v>0</v>
      </c>
      <c r="J75" s="82">
        <v>0</v>
      </c>
      <c r="K75" s="81">
        <v>1</v>
      </c>
      <c r="L75" s="64">
        <v>4</v>
      </c>
      <c r="M75" s="64">
        <v>3</v>
      </c>
      <c r="N75" s="82">
        <v>3</v>
      </c>
      <c r="O75" s="66">
        <v>1</v>
      </c>
      <c r="P75" s="66">
        <v>3</v>
      </c>
      <c r="Q75" s="64">
        <v>3</v>
      </c>
      <c r="R75" s="64">
        <v>1</v>
      </c>
      <c r="S75" s="64">
        <v>0</v>
      </c>
      <c r="T75" s="83">
        <v>3</v>
      </c>
    </row>
    <row r="76" spans="1:20" x14ac:dyDescent="0.25">
      <c r="A76" s="80">
        <v>4</v>
      </c>
      <c r="B76" s="81">
        <v>1</v>
      </c>
      <c r="C76" s="64">
        <v>2</v>
      </c>
      <c r="D76" s="64">
        <v>2</v>
      </c>
      <c r="E76" s="82">
        <v>0</v>
      </c>
      <c r="F76" s="81">
        <v>0</v>
      </c>
      <c r="G76" s="64">
        <v>1</v>
      </c>
      <c r="H76" s="64">
        <v>0</v>
      </c>
      <c r="I76" s="66">
        <v>2</v>
      </c>
      <c r="J76" s="82">
        <v>0</v>
      </c>
      <c r="K76" s="81">
        <v>3</v>
      </c>
      <c r="L76" s="64">
        <v>2</v>
      </c>
      <c r="M76" s="64">
        <v>0</v>
      </c>
      <c r="N76" s="82">
        <v>2</v>
      </c>
      <c r="O76" s="66">
        <v>4</v>
      </c>
      <c r="P76" s="66">
        <v>0</v>
      </c>
      <c r="Q76" s="64">
        <v>2</v>
      </c>
      <c r="R76" s="64">
        <v>2</v>
      </c>
      <c r="S76" s="64">
        <v>0</v>
      </c>
      <c r="T76" s="83">
        <v>0</v>
      </c>
    </row>
    <row r="77" spans="1:20" x14ac:dyDescent="0.25">
      <c r="A77" s="80">
        <v>5</v>
      </c>
      <c r="B77" s="81">
        <v>1</v>
      </c>
      <c r="C77" s="64">
        <v>1</v>
      </c>
      <c r="D77" s="64">
        <v>2</v>
      </c>
      <c r="E77" s="82">
        <v>0</v>
      </c>
      <c r="F77" s="81">
        <v>0</v>
      </c>
      <c r="G77" s="64">
        <v>0</v>
      </c>
      <c r="H77" s="64">
        <v>0</v>
      </c>
      <c r="I77" s="66">
        <v>1</v>
      </c>
      <c r="J77" s="82">
        <v>0</v>
      </c>
      <c r="K77" s="81">
        <v>4</v>
      </c>
      <c r="L77" s="64">
        <v>0</v>
      </c>
      <c r="M77" s="64">
        <v>5</v>
      </c>
      <c r="N77" s="82">
        <v>2</v>
      </c>
      <c r="O77" s="66">
        <v>4</v>
      </c>
      <c r="P77" s="66">
        <v>0</v>
      </c>
      <c r="Q77" s="64">
        <v>2</v>
      </c>
      <c r="R77" s="64">
        <v>1</v>
      </c>
      <c r="S77" s="64">
        <v>0</v>
      </c>
      <c r="T77" s="83">
        <v>1</v>
      </c>
    </row>
    <row r="78" spans="1:20" x14ac:dyDescent="0.25">
      <c r="A78" s="80">
        <v>6</v>
      </c>
      <c r="B78" s="81">
        <v>0</v>
      </c>
      <c r="C78" s="64">
        <v>1</v>
      </c>
      <c r="D78" s="64">
        <v>1</v>
      </c>
      <c r="E78" s="82">
        <v>0</v>
      </c>
      <c r="F78" s="81">
        <v>3</v>
      </c>
      <c r="G78" s="64">
        <v>0</v>
      </c>
      <c r="H78" s="64">
        <v>0</v>
      </c>
      <c r="I78" s="66">
        <v>4</v>
      </c>
      <c r="J78" s="82">
        <v>0</v>
      </c>
      <c r="K78" s="81">
        <v>5</v>
      </c>
      <c r="L78" s="64">
        <v>0</v>
      </c>
      <c r="M78" s="64">
        <v>5</v>
      </c>
      <c r="N78" s="82">
        <v>2</v>
      </c>
      <c r="O78" s="66">
        <v>2</v>
      </c>
      <c r="P78" s="66">
        <v>0</v>
      </c>
      <c r="Q78" s="64">
        <v>2</v>
      </c>
      <c r="R78" s="64">
        <v>1</v>
      </c>
      <c r="S78" s="64">
        <v>0</v>
      </c>
      <c r="T78" s="83">
        <v>0</v>
      </c>
    </row>
    <row r="79" spans="1:20" x14ac:dyDescent="0.25">
      <c r="A79" s="80">
        <v>7</v>
      </c>
      <c r="B79" s="81">
        <v>0</v>
      </c>
      <c r="C79" s="64">
        <v>1</v>
      </c>
      <c r="D79" s="64">
        <v>1</v>
      </c>
      <c r="E79" s="82">
        <v>0</v>
      </c>
      <c r="F79" s="81">
        <v>0</v>
      </c>
      <c r="G79" s="64">
        <v>0</v>
      </c>
      <c r="H79" s="64">
        <v>0</v>
      </c>
      <c r="I79" s="66">
        <v>0</v>
      </c>
      <c r="J79" s="82">
        <v>0</v>
      </c>
      <c r="K79" s="81">
        <v>4</v>
      </c>
      <c r="L79" s="64">
        <v>1</v>
      </c>
      <c r="M79" s="64">
        <v>4</v>
      </c>
      <c r="N79" s="82">
        <v>1</v>
      </c>
      <c r="O79" s="66">
        <v>1</v>
      </c>
      <c r="P79" s="66">
        <v>3</v>
      </c>
      <c r="Q79" s="64">
        <v>2</v>
      </c>
      <c r="R79" s="64">
        <v>2</v>
      </c>
      <c r="S79" s="64">
        <v>0</v>
      </c>
      <c r="T79" s="83">
        <v>0</v>
      </c>
    </row>
    <row r="80" spans="1:20" x14ac:dyDescent="0.25">
      <c r="A80" s="80">
        <v>8</v>
      </c>
      <c r="B80" s="81">
        <v>0</v>
      </c>
      <c r="C80" s="64">
        <v>0</v>
      </c>
      <c r="D80" s="64">
        <v>0</v>
      </c>
      <c r="E80" s="82">
        <v>0</v>
      </c>
      <c r="F80" s="81">
        <v>0</v>
      </c>
      <c r="G80" s="64">
        <v>0</v>
      </c>
      <c r="H80" s="64">
        <v>0</v>
      </c>
      <c r="I80" s="66">
        <v>1</v>
      </c>
      <c r="J80" s="82">
        <v>2</v>
      </c>
      <c r="K80" s="81">
        <v>4</v>
      </c>
      <c r="L80" s="64">
        <v>0</v>
      </c>
      <c r="M80" s="64">
        <v>5</v>
      </c>
      <c r="N80" s="82">
        <v>1</v>
      </c>
      <c r="O80" s="66">
        <v>5</v>
      </c>
      <c r="P80" s="66">
        <v>0</v>
      </c>
      <c r="Q80" s="64">
        <v>2</v>
      </c>
      <c r="R80" s="64">
        <v>0</v>
      </c>
      <c r="S80" s="64">
        <v>0</v>
      </c>
      <c r="T80" s="83">
        <v>5</v>
      </c>
    </row>
    <row r="81" spans="1:20" x14ac:dyDescent="0.25">
      <c r="A81" s="80">
        <v>9</v>
      </c>
      <c r="B81" s="81">
        <v>0</v>
      </c>
      <c r="C81" s="64">
        <v>0</v>
      </c>
      <c r="D81" s="64">
        <v>0</v>
      </c>
      <c r="E81" s="82">
        <v>0</v>
      </c>
      <c r="F81" s="81">
        <v>0</v>
      </c>
      <c r="G81" s="64">
        <v>0</v>
      </c>
      <c r="H81" s="64">
        <v>0</v>
      </c>
      <c r="I81" s="66">
        <v>0</v>
      </c>
      <c r="J81" s="82">
        <v>0</v>
      </c>
      <c r="K81" s="81">
        <v>6</v>
      </c>
      <c r="L81" s="64">
        <v>1</v>
      </c>
      <c r="M81" s="64">
        <v>4</v>
      </c>
      <c r="N81" s="82">
        <v>6</v>
      </c>
      <c r="O81" s="66">
        <v>0</v>
      </c>
      <c r="P81" s="66">
        <v>0</v>
      </c>
      <c r="Q81" s="64">
        <v>5</v>
      </c>
      <c r="R81" s="64">
        <v>1</v>
      </c>
      <c r="S81" s="64">
        <v>0</v>
      </c>
      <c r="T81" s="83">
        <v>6</v>
      </c>
    </row>
    <row r="82" spans="1:20" x14ac:dyDescent="0.25">
      <c r="A82" s="80">
        <v>10</v>
      </c>
      <c r="B82" s="81">
        <v>0</v>
      </c>
      <c r="C82" s="64">
        <v>2</v>
      </c>
      <c r="D82" s="64">
        <v>0</v>
      </c>
      <c r="E82" s="82">
        <v>0</v>
      </c>
      <c r="F82" s="81">
        <v>0</v>
      </c>
      <c r="G82" s="64">
        <v>1</v>
      </c>
      <c r="H82" s="64">
        <v>0</v>
      </c>
      <c r="I82" s="66">
        <v>1</v>
      </c>
      <c r="J82" s="82">
        <v>1</v>
      </c>
      <c r="K82" s="81">
        <v>1</v>
      </c>
      <c r="L82" s="64">
        <v>1</v>
      </c>
      <c r="M82" s="64">
        <v>3</v>
      </c>
      <c r="N82" s="82">
        <v>0</v>
      </c>
      <c r="O82" s="66">
        <v>1</v>
      </c>
      <c r="P82" s="66">
        <v>0</v>
      </c>
      <c r="Q82" s="64">
        <v>4</v>
      </c>
      <c r="R82" s="64">
        <v>0</v>
      </c>
      <c r="S82" s="64">
        <v>0</v>
      </c>
      <c r="T82" s="83">
        <v>5</v>
      </c>
    </row>
    <row r="83" spans="1:20" x14ac:dyDescent="0.25">
      <c r="A83" s="80">
        <v>11</v>
      </c>
      <c r="B83" s="81">
        <v>2</v>
      </c>
      <c r="C83" s="64">
        <v>2</v>
      </c>
      <c r="D83" s="64">
        <v>0</v>
      </c>
      <c r="E83" s="82">
        <v>0</v>
      </c>
      <c r="F83" s="81">
        <v>0</v>
      </c>
      <c r="G83" s="64">
        <v>0</v>
      </c>
      <c r="H83" s="64">
        <v>0</v>
      </c>
      <c r="I83" s="66">
        <v>1</v>
      </c>
      <c r="J83" s="82">
        <v>0</v>
      </c>
      <c r="K83" s="81">
        <v>3</v>
      </c>
      <c r="L83" s="64">
        <v>0</v>
      </c>
      <c r="M83" s="64">
        <v>3</v>
      </c>
      <c r="N83" s="82">
        <v>1</v>
      </c>
      <c r="O83" s="66">
        <v>0</v>
      </c>
      <c r="P83" s="66">
        <v>0</v>
      </c>
      <c r="Q83" s="64">
        <v>3</v>
      </c>
      <c r="R83" s="64">
        <v>1</v>
      </c>
      <c r="S83" s="64">
        <v>0</v>
      </c>
      <c r="T83" s="83">
        <v>6</v>
      </c>
    </row>
    <row r="84" spans="1:20" x14ac:dyDescent="0.25">
      <c r="A84" s="80">
        <v>12</v>
      </c>
      <c r="B84" s="81">
        <v>0</v>
      </c>
      <c r="C84" s="64">
        <v>2</v>
      </c>
      <c r="D84" s="64">
        <v>0</v>
      </c>
      <c r="E84" s="82">
        <v>0</v>
      </c>
      <c r="F84" s="81">
        <v>0</v>
      </c>
      <c r="G84" s="64">
        <v>0</v>
      </c>
      <c r="H84" s="64">
        <v>0</v>
      </c>
      <c r="I84" s="66">
        <v>1</v>
      </c>
      <c r="J84" s="82">
        <v>0</v>
      </c>
      <c r="K84" s="81">
        <v>1</v>
      </c>
      <c r="L84" s="64">
        <v>0</v>
      </c>
      <c r="M84" s="64">
        <v>4</v>
      </c>
      <c r="N84" s="82">
        <v>1</v>
      </c>
      <c r="O84" s="66">
        <v>3</v>
      </c>
      <c r="P84" s="66">
        <v>0</v>
      </c>
      <c r="Q84" s="64">
        <v>2</v>
      </c>
      <c r="R84" s="64">
        <v>6</v>
      </c>
      <c r="S84" s="64">
        <v>0</v>
      </c>
      <c r="T84" s="83">
        <v>0</v>
      </c>
    </row>
    <row r="85" spans="1:20" x14ac:dyDescent="0.25">
      <c r="A85" s="80">
        <v>13</v>
      </c>
      <c r="B85" s="81">
        <v>0</v>
      </c>
      <c r="C85" s="64">
        <v>0</v>
      </c>
      <c r="D85" s="64">
        <v>0</v>
      </c>
      <c r="E85" s="82">
        <v>0</v>
      </c>
      <c r="F85" s="81">
        <v>0</v>
      </c>
      <c r="G85" s="64">
        <v>0</v>
      </c>
      <c r="H85" s="64">
        <v>0</v>
      </c>
      <c r="I85" s="66">
        <v>1</v>
      </c>
      <c r="J85" s="82">
        <v>0</v>
      </c>
      <c r="K85" s="81">
        <v>1</v>
      </c>
      <c r="L85" s="64">
        <v>1</v>
      </c>
      <c r="M85" s="64">
        <v>3</v>
      </c>
      <c r="N85" s="82">
        <v>0</v>
      </c>
      <c r="O85" s="66">
        <v>0</v>
      </c>
      <c r="P85" s="66">
        <v>1</v>
      </c>
      <c r="Q85" s="64">
        <v>4</v>
      </c>
      <c r="R85" s="64">
        <v>5</v>
      </c>
      <c r="S85" s="64">
        <v>0</v>
      </c>
      <c r="T85" s="83">
        <v>4</v>
      </c>
    </row>
    <row r="86" spans="1:20" x14ac:dyDescent="0.25">
      <c r="A86" s="80">
        <v>14</v>
      </c>
      <c r="B86" s="81">
        <v>0</v>
      </c>
      <c r="C86" s="64">
        <v>0</v>
      </c>
      <c r="D86" s="64">
        <v>3</v>
      </c>
      <c r="E86" s="82">
        <v>0</v>
      </c>
      <c r="F86" s="81">
        <v>0</v>
      </c>
      <c r="G86" s="64">
        <v>0</v>
      </c>
      <c r="H86" s="64">
        <v>0</v>
      </c>
      <c r="I86" s="66">
        <v>0</v>
      </c>
      <c r="J86" s="82">
        <v>0</v>
      </c>
      <c r="K86" s="81">
        <v>4</v>
      </c>
      <c r="L86" s="64">
        <v>4</v>
      </c>
      <c r="M86" s="64">
        <v>3</v>
      </c>
      <c r="N86" s="82">
        <v>1</v>
      </c>
      <c r="O86" s="66">
        <v>2</v>
      </c>
      <c r="P86" s="66">
        <v>0</v>
      </c>
      <c r="Q86" s="64">
        <v>3</v>
      </c>
      <c r="R86" s="64">
        <v>4</v>
      </c>
      <c r="S86" s="64">
        <v>0</v>
      </c>
      <c r="T86" s="83">
        <v>4</v>
      </c>
    </row>
    <row r="87" spans="1:20" x14ac:dyDescent="0.25">
      <c r="A87" s="80">
        <v>15</v>
      </c>
      <c r="B87" s="81">
        <v>0</v>
      </c>
      <c r="C87" s="64">
        <v>0</v>
      </c>
      <c r="D87" s="64">
        <v>0</v>
      </c>
      <c r="E87" s="82">
        <v>0</v>
      </c>
      <c r="F87" s="81">
        <v>0</v>
      </c>
      <c r="G87" s="64">
        <v>1</v>
      </c>
      <c r="H87" s="64">
        <v>0</v>
      </c>
      <c r="I87" s="66">
        <v>0</v>
      </c>
      <c r="J87" s="82">
        <v>0</v>
      </c>
      <c r="K87" s="81">
        <v>6</v>
      </c>
      <c r="L87" s="64">
        <v>1</v>
      </c>
      <c r="M87" s="64">
        <v>4</v>
      </c>
      <c r="N87" s="82">
        <v>0</v>
      </c>
      <c r="O87" s="66">
        <v>1</v>
      </c>
      <c r="P87" s="66">
        <v>0</v>
      </c>
      <c r="Q87" s="64">
        <v>4</v>
      </c>
      <c r="R87" s="64">
        <v>3</v>
      </c>
      <c r="S87" s="64">
        <v>0</v>
      </c>
      <c r="T87" s="83">
        <v>3</v>
      </c>
    </row>
    <row r="88" spans="1:20" x14ac:dyDescent="0.25">
      <c r="A88" s="80">
        <v>16</v>
      </c>
      <c r="B88" s="81">
        <v>1</v>
      </c>
      <c r="C88" s="64">
        <v>0</v>
      </c>
      <c r="D88" s="64">
        <v>0</v>
      </c>
      <c r="E88" s="82">
        <v>0</v>
      </c>
      <c r="F88" s="81">
        <v>0</v>
      </c>
      <c r="G88" s="64">
        <v>0</v>
      </c>
      <c r="H88" s="64">
        <v>0</v>
      </c>
      <c r="I88" s="66">
        <v>0</v>
      </c>
      <c r="J88" s="82">
        <v>0</v>
      </c>
      <c r="K88" s="81">
        <v>4</v>
      </c>
      <c r="L88" s="64">
        <v>1</v>
      </c>
      <c r="M88" s="64">
        <v>0</v>
      </c>
      <c r="N88" s="82">
        <v>0</v>
      </c>
      <c r="O88" s="66">
        <v>0</v>
      </c>
      <c r="P88" s="66">
        <v>0</v>
      </c>
      <c r="Q88" s="64">
        <v>1</v>
      </c>
      <c r="R88" s="64">
        <v>6</v>
      </c>
      <c r="S88" s="64">
        <v>0</v>
      </c>
      <c r="T88" s="83">
        <v>7</v>
      </c>
    </row>
    <row r="89" spans="1:20" x14ac:dyDescent="0.25">
      <c r="A89" s="80">
        <v>17</v>
      </c>
      <c r="B89" s="81">
        <v>1</v>
      </c>
      <c r="C89" s="64">
        <v>1</v>
      </c>
      <c r="D89" s="64">
        <v>1</v>
      </c>
      <c r="E89" s="82">
        <v>1</v>
      </c>
      <c r="F89" s="81">
        <v>0</v>
      </c>
      <c r="G89" s="64">
        <v>0</v>
      </c>
      <c r="H89" s="64">
        <v>0</v>
      </c>
      <c r="I89" s="66">
        <v>0</v>
      </c>
      <c r="J89" s="82">
        <v>1</v>
      </c>
      <c r="K89" s="81">
        <v>4</v>
      </c>
      <c r="L89" s="64">
        <v>1</v>
      </c>
      <c r="M89" s="64">
        <v>1</v>
      </c>
      <c r="N89" s="82">
        <v>4</v>
      </c>
      <c r="O89" s="66">
        <v>1</v>
      </c>
      <c r="P89" s="66">
        <v>0</v>
      </c>
      <c r="Q89" s="64">
        <v>1</v>
      </c>
      <c r="R89" s="64">
        <v>6</v>
      </c>
      <c r="S89" s="64">
        <v>0</v>
      </c>
      <c r="T89" s="83">
        <v>0</v>
      </c>
    </row>
    <row r="90" spans="1:20" x14ac:dyDescent="0.25">
      <c r="A90" s="80">
        <v>18</v>
      </c>
      <c r="B90" s="81">
        <v>1</v>
      </c>
      <c r="C90" s="64">
        <v>1</v>
      </c>
      <c r="D90" s="64">
        <v>0</v>
      </c>
      <c r="E90" s="82">
        <v>0</v>
      </c>
      <c r="F90" s="81">
        <v>0</v>
      </c>
      <c r="G90" s="64">
        <v>1</v>
      </c>
      <c r="H90" s="64">
        <v>0</v>
      </c>
      <c r="I90" s="66">
        <v>0</v>
      </c>
      <c r="J90" s="82">
        <v>0</v>
      </c>
      <c r="K90" s="81">
        <v>1</v>
      </c>
      <c r="L90" s="64">
        <v>0</v>
      </c>
      <c r="M90" s="64">
        <v>3</v>
      </c>
      <c r="N90" s="82">
        <v>1</v>
      </c>
      <c r="O90" s="66">
        <v>0</v>
      </c>
      <c r="P90" s="66">
        <v>0</v>
      </c>
      <c r="Q90" s="64">
        <v>1</v>
      </c>
      <c r="R90" s="64">
        <v>0</v>
      </c>
      <c r="S90" s="64">
        <v>0</v>
      </c>
      <c r="T90" s="83">
        <v>1</v>
      </c>
    </row>
    <row r="91" spans="1:20" x14ac:dyDescent="0.25">
      <c r="A91" s="80">
        <v>19</v>
      </c>
      <c r="B91" s="81">
        <v>1</v>
      </c>
      <c r="C91" s="64">
        <v>0</v>
      </c>
      <c r="D91" s="64">
        <v>0</v>
      </c>
      <c r="E91" s="82">
        <v>0</v>
      </c>
      <c r="F91" s="81">
        <v>0</v>
      </c>
      <c r="G91" s="64">
        <v>0</v>
      </c>
      <c r="H91" s="64">
        <v>0</v>
      </c>
      <c r="I91" s="66">
        <v>1</v>
      </c>
      <c r="J91" s="82">
        <v>1</v>
      </c>
      <c r="K91" s="81">
        <v>3</v>
      </c>
      <c r="L91" s="64">
        <v>0</v>
      </c>
      <c r="M91" s="64">
        <v>1</v>
      </c>
      <c r="N91" s="82">
        <v>1</v>
      </c>
      <c r="O91" s="66">
        <v>0</v>
      </c>
      <c r="P91" s="66">
        <v>3</v>
      </c>
      <c r="Q91" s="64">
        <v>1</v>
      </c>
      <c r="R91" s="64">
        <v>2</v>
      </c>
      <c r="S91" s="64">
        <v>0</v>
      </c>
      <c r="T91" s="83">
        <v>1</v>
      </c>
    </row>
    <row r="92" spans="1:20" ht="15.75" thickBot="1" x14ac:dyDescent="0.3">
      <c r="A92" s="80">
        <v>20</v>
      </c>
      <c r="B92" s="81">
        <v>1</v>
      </c>
      <c r="C92" s="64">
        <v>0</v>
      </c>
      <c r="D92" s="64">
        <v>0</v>
      </c>
      <c r="E92" s="82">
        <v>0</v>
      </c>
      <c r="F92" s="81">
        <v>0</v>
      </c>
      <c r="G92" s="64">
        <v>0</v>
      </c>
      <c r="H92" s="64">
        <v>0</v>
      </c>
      <c r="I92" s="66">
        <v>2</v>
      </c>
      <c r="J92" s="82">
        <v>1</v>
      </c>
      <c r="K92" s="81">
        <v>1</v>
      </c>
      <c r="L92" s="64">
        <v>0</v>
      </c>
      <c r="M92" s="64">
        <v>4</v>
      </c>
      <c r="N92" s="82">
        <v>1</v>
      </c>
      <c r="O92" s="66">
        <v>0</v>
      </c>
      <c r="P92" s="66">
        <v>2</v>
      </c>
      <c r="Q92" s="64">
        <v>1</v>
      </c>
      <c r="R92" s="64">
        <v>1</v>
      </c>
      <c r="S92" s="64">
        <v>0</v>
      </c>
      <c r="T92" s="83">
        <v>0</v>
      </c>
    </row>
    <row r="93" spans="1:20" ht="15.75" thickBot="1" x14ac:dyDescent="0.3">
      <c r="A93" s="90" t="s">
        <v>4</v>
      </c>
      <c r="B93" s="85">
        <v>0.5</v>
      </c>
      <c r="C93" s="86">
        <v>0.75</v>
      </c>
      <c r="D93" s="86">
        <v>0.65</v>
      </c>
      <c r="E93" s="87">
        <v>0.05</v>
      </c>
      <c r="F93" s="85">
        <v>0.15</v>
      </c>
      <c r="G93" s="86">
        <v>0.2</v>
      </c>
      <c r="H93" s="86">
        <v>0</v>
      </c>
      <c r="I93" s="88">
        <v>0.8</v>
      </c>
      <c r="J93" s="87">
        <v>0.35</v>
      </c>
      <c r="K93" s="85">
        <v>2.8</v>
      </c>
      <c r="L93" s="86">
        <v>1.1000000000000001</v>
      </c>
      <c r="M93" s="86">
        <v>3.25</v>
      </c>
      <c r="N93" s="87">
        <v>1.55</v>
      </c>
      <c r="O93" s="88">
        <v>1.55</v>
      </c>
      <c r="P93" s="88">
        <v>0.75</v>
      </c>
      <c r="Q93" s="86">
        <v>2.5</v>
      </c>
      <c r="R93" s="86">
        <v>2.6</v>
      </c>
      <c r="S93" s="86">
        <v>0</v>
      </c>
      <c r="T93" s="89">
        <v>2.5499999999999998</v>
      </c>
    </row>
    <row r="94" spans="1:20" ht="15.75" thickBot="1" x14ac:dyDescent="0.3"/>
    <row r="95" spans="1:20" ht="15.75" thickBot="1" x14ac:dyDescent="0.3">
      <c r="A95" s="16"/>
      <c r="B95" s="100" t="s">
        <v>7</v>
      </c>
      <c r="C95" s="101" t="s">
        <v>8</v>
      </c>
      <c r="D95" s="101" t="s">
        <v>9</v>
      </c>
      <c r="E95" s="102" t="s">
        <v>10</v>
      </c>
      <c r="F95" s="100" t="s">
        <v>11</v>
      </c>
      <c r="G95" s="101" t="s">
        <v>12</v>
      </c>
      <c r="H95" s="101" t="s">
        <v>13</v>
      </c>
      <c r="I95" s="101" t="s">
        <v>14</v>
      </c>
      <c r="J95" s="102" t="s">
        <v>15</v>
      </c>
      <c r="K95" s="100" t="s">
        <v>16</v>
      </c>
      <c r="L95" s="101" t="s">
        <v>17</v>
      </c>
      <c r="M95" s="101" t="s">
        <v>18</v>
      </c>
      <c r="N95" s="102" t="s">
        <v>19</v>
      </c>
      <c r="O95" s="100" t="s">
        <v>20</v>
      </c>
      <c r="P95" s="101" t="s">
        <v>21</v>
      </c>
      <c r="Q95" s="101" t="s">
        <v>22</v>
      </c>
      <c r="R95" s="101" t="s">
        <v>23</v>
      </c>
      <c r="S95" s="101" t="s">
        <v>24</v>
      </c>
      <c r="T95" s="102" t="s">
        <v>25</v>
      </c>
    </row>
    <row r="96" spans="1:20" x14ac:dyDescent="0.25">
      <c r="A96" s="103" t="s">
        <v>64</v>
      </c>
      <c r="B96" s="93">
        <v>0.1</v>
      </c>
      <c r="C96" s="94">
        <v>0.1</v>
      </c>
      <c r="D96" s="94">
        <v>0.2</v>
      </c>
      <c r="E96" s="95">
        <v>0.05</v>
      </c>
      <c r="F96" s="93">
        <v>0.05</v>
      </c>
      <c r="G96" s="94">
        <v>0.4</v>
      </c>
      <c r="H96" s="94">
        <v>0.1</v>
      </c>
      <c r="I96" s="94">
        <v>0.1</v>
      </c>
      <c r="J96" s="95">
        <v>0.2</v>
      </c>
      <c r="K96" s="93">
        <v>3.5</v>
      </c>
      <c r="L96" s="94">
        <v>1.7</v>
      </c>
      <c r="M96" s="94">
        <v>3.7</v>
      </c>
      <c r="N96" s="95">
        <v>1.8</v>
      </c>
      <c r="O96" s="93">
        <v>2.65</v>
      </c>
      <c r="P96" s="94">
        <v>1.1000000000000001</v>
      </c>
      <c r="Q96" s="94">
        <v>2.4500000000000002</v>
      </c>
      <c r="R96" s="94">
        <v>2.5499999999999998</v>
      </c>
      <c r="S96" s="94">
        <v>0.95</v>
      </c>
      <c r="T96" s="95">
        <v>2.5499999999999998</v>
      </c>
    </row>
    <row r="97" spans="1:20" x14ac:dyDescent="0.25">
      <c r="A97" s="104" t="s">
        <v>82</v>
      </c>
      <c r="B97" s="96">
        <v>0.2</v>
      </c>
      <c r="C97" s="79">
        <v>0.1</v>
      </c>
      <c r="D97" s="79">
        <v>0.35</v>
      </c>
      <c r="E97" s="97">
        <v>0.15</v>
      </c>
      <c r="F97" s="96">
        <v>0</v>
      </c>
      <c r="G97" s="79">
        <v>0.5</v>
      </c>
      <c r="H97" s="79">
        <v>0.25</v>
      </c>
      <c r="I97" s="79">
        <v>0.3</v>
      </c>
      <c r="J97" s="97">
        <v>0.2</v>
      </c>
      <c r="K97" s="96">
        <v>3.4</v>
      </c>
      <c r="L97" s="79">
        <v>1.7</v>
      </c>
      <c r="M97" s="79">
        <v>3.8</v>
      </c>
      <c r="N97" s="97">
        <v>2.0499999999999998</v>
      </c>
      <c r="O97" s="96">
        <v>2.75</v>
      </c>
      <c r="P97" s="79">
        <v>1.4</v>
      </c>
      <c r="Q97" s="79">
        <v>2.8</v>
      </c>
      <c r="R97" s="79">
        <v>2.75</v>
      </c>
      <c r="S97" s="79">
        <v>1.1499999999999999</v>
      </c>
      <c r="T97" s="97">
        <v>2.7</v>
      </c>
    </row>
    <row r="98" spans="1:20" ht="15.75" thickBot="1" x14ac:dyDescent="0.3">
      <c r="A98" s="105" t="s">
        <v>83</v>
      </c>
      <c r="B98" s="98">
        <v>0.5</v>
      </c>
      <c r="C98" s="63">
        <v>0.75</v>
      </c>
      <c r="D98" s="63">
        <v>0.65</v>
      </c>
      <c r="E98" s="99">
        <v>0.05</v>
      </c>
      <c r="F98" s="98">
        <v>0.15</v>
      </c>
      <c r="G98" s="63">
        <v>0.2</v>
      </c>
      <c r="H98" s="63">
        <v>0</v>
      </c>
      <c r="I98" s="63">
        <v>0.8</v>
      </c>
      <c r="J98" s="99">
        <v>0.35</v>
      </c>
      <c r="K98" s="98">
        <v>2.8</v>
      </c>
      <c r="L98" s="63">
        <v>1.1000000000000001</v>
      </c>
      <c r="M98" s="63">
        <v>3.25</v>
      </c>
      <c r="N98" s="99">
        <v>1.55</v>
      </c>
      <c r="O98" s="98">
        <v>1.55</v>
      </c>
      <c r="P98" s="63">
        <v>0.75</v>
      </c>
      <c r="Q98" s="63">
        <v>2.5</v>
      </c>
      <c r="R98" s="63">
        <v>2.6</v>
      </c>
      <c r="S98" s="63">
        <v>0</v>
      </c>
      <c r="T98" s="99">
        <v>2.5499999999999998</v>
      </c>
    </row>
    <row r="99" spans="1:20" ht="15.75" thickBot="1" x14ac:dyDescent="0.3">
      <c r="A99" s="92" t="s">
        <v>4</v>
      </c>
      <c r="B99" s="85">
        <v>0.26666666666666666</v>
      </c>
      <c r="C99" s="86">
        <v>0.31666666666666665</v>
      </c>
      <c r="D99" s="86">
        <v>0.40000000000000008</v>
      </c>
      <c r="E99" s="87">
        <v>8.3333333333333329E-2</v>
      </c>
      <c r="F99" s="85">
        <v>6.6666666666666666E-2</v>
      </c>
      <c r="G99" s="86">
        <v>0.3666666666666667</v>
      </c>
      <c r="H99" s="86">
        <v>0.11666666666666665</v>
      </c>
      <c r="I99" s="86">
        <v>0.40000000000000008</v>
      </c>
      <c r="J99" s="87">
        <v>0.25</v>
      </c>
      <c r="K99" s="85">
        <v>3.2333333333333329</v>
      </c>
      <c r="L99" s="86">
        <v>1.5</v>
      </c>
      <c r="M99" s="86">
        <v>3.5833333333333335</v>
      </c>
      <c r="N99" s="87">
        <v>1.7999999999999998</v>
      </c>
      <c r="O99" s="85">
        <v>2.3166666666666669</v>
      </c>
      <c r="P99" s="86">
        <v>1.0833333333333333</v>
      </c>
      <c r="Q99" s="86">
        <v>2.5833333333333335</v>
      </c>
      <c r="R99" s="86">
        <v>2.6333333333333333</v>
      </c>
      <c r="S99" s="86">
        <v>0.69999999999999984</v>
      </c>
      <c r="T99" s="87">
        <v>2.6</v>
      </c>
    </row>
    <row r="100" spans="1:20" ht="15.75" thickBot="1" x14ac:dyDescent="0.3"/>
    <row r="101" spans="1:20" ht="15.75" thickBot="1" x14ac:dyDescent="0.3">
      <c r="A101" t="s">
        <v>78</v>
      </c>
      <c r="B101" s="92">
        <v>0.26666666666666666</v>
      </c>
      <c r="F101" s="92">
        <v>0.24000000000000005</v>
      </c>
      <c r="K101" s="92">
        <v>2.5291666666666668</v>
      </c>
      <c r="O101" s="92">
        <v>1.9861111111111109</v>
      </c>
    </row>
    <row r="102" spans="1:20" x14ac:dyDescent="0.25">
      <c r="C102" s="2"/>
    </row>
    <row r="103" spans="1:20" x14ac:dyDescent="0.25">
      <c r="B103" s="2"/>
    </row>
    <row r="104" spans="1:20" x14ac:dyDescent="0.25">
      <c r="B104" s="2"/>
      <c r="D104" s="2"/>
    </row>
    <row r="105" spans="1:20" x14ac:dyDescent="0.25">
      <c r="B105" s="2"/>
    </row>
    <row r="106" spans="1:20" x14ac:dyDescent="0.25">
      <c r="B106" s="3"/>
      <c r="D106" s="3"/>
    </row>
    <row r="107" spans="1:20" x14ac:dyDescent="0.25">
      <c r="B107" s="2"/>
      <c r="D107" s="2"/>
    </row>
    <row r="108" spans="1:20" x14ac:dyDescent="0.25">
      <c r="B108" s="2"/>
      <c r="D108" s="2"/>
    </row>
    <row r="109" spans="1:20" x14ac:dyDescent="0.25">
      <c r="B109" s="2"/>
    </row>
    <row r="110" spans="1:20" x14ac:dyDescent="0.25">
      <c r="B110" s="2"/>
      <c r="D110" s="2"/>
    </row>
    <row r="111" spans="1:20" x14ac:dyDescent="0.25">
      <c r="B111" s="2"/>
    </row>
    <row r="112" spans="1:20" x14ac:dyDescent="0.25">
      <c r="B112" s="2"/>
    </row>
    <row r="113" spans="2:4" x14ac:dyDescent="0.25">
      <c r="B113" s="2"/>
      <c r="D113" s="2"/>
    </row>
    <row r="114" spans="2:4" x14ac:dyDescent="0.25">
      <c r="B114" s="2"/>
    </row>
    <row r="115" spans="2:4" x14ac:dyDescent="0.25">
      <c r="B115" s="2"/>
    </row>
  </sheetData>
  <phoneticPr fontId="19" type="noConversion"/>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6E21D-9443-42F5-B682-C7039F3ECE9A}">
  <dimension ref="A1:M71"/>
  <sheetViews>
    <sheetView tabSelected="1" workbookViewId="0">
      <selection activeCell="E72" sqref="E72"/>
    </sheetView>
  </sheetViews>
  <sheetFormatPr baseColWidth="10" defaultRowHeight="15" x14ac:dyDescent="0.25"/>
  <cols>
    <col min="3" max="3" width="15.5703125" customWidth="1"/>
    <col min="4" max="4" width="15" customWidth="1"/>
    <col min="8" max="8" width="14.140625" customWidth="1"/>
    <col min="9" max="9" width="14.42578125" customWidth="1"/>
    <col min="10" max="10" width="10.85546875" style="16"/>
    <col min="11" max="11" width="23" customWidth="1"/>
    <col min="12" max="12" width="24" customWidth="1"/>
  </cols>
  <sheetData>
    <row r="1" spans="1:6" x14ac:dyDescent="0.25">
      <c r="A1" s="1" t="s">
        <v>0</v>
      </c>
      <c r="C1" s="106"/>
      <c r="D1" s="106"/>
      <c r="E1" s="106"/>
      <c r="F1" s="107"/>
    </row>
    <row r="3" spans="1:6" x14ac:dyDescent="0.25">
      <c r="A3" s="1" t="s">
        <v>2</v>
      </c>
    </row>
    <row r="4" spans="1:6" x14ac:dyDescent="0.25">
      <c r="A4" s="6" t="s">
        <v>102</v>
      </c>
    </row>
    <row r="5" spans="1:6" x14ac:dyDescent="0.25">
      <c r="A5" s="6" t="s">
        <v>103</v>
      </c>
    </row>
    <row r="6" spans="1:6" x14ac:dyDescent="0.25">
      <c r="A6" s="6" t="s">
        <v>69</v>
      </c>
    </row>
    <row r="7" spans="1:6" x14ac:dyDescent="0.25">
      <c r="A7" s="6" t="s">
        <v>125</v>
      </c>
    </row>
    <row r="8" spans="1:6" x14ac:dyDescent="0.25">
      <c r="A8" s="6" t="s">
        <v>104</v>
      </c>
    </row>
    <row r="9" spans="1:6" x14ac:dyDescent="0.25">
      <c r="A9" s="6" t="s">
        <v>105</v>
      </c>
    </row>
    <row r="10" spans="1:6" x14ac:dyDescent="0.25">
      <c r="A10" s="1"/>
    </row>
    <row r="11" spans="1:6" x14ac:dyDescent="0.25">
      <c r="A11" s="1" t="s">
        <v>3</v>
      </c>
    </row>
    <row r="13" spans="1:6" x14ac:dyDescent="0.25">
      <c r="A13" s="6" t="s">
        <v>79</v>
      </c>
    </row>
    <row r="14" spans="1:6" x14ac:dyDescent="0.25">
      <c r="A14" t="s">
        <v>30</v>
      </c>
    </row>
    <row r="16" spans="1:6" x14ac:dyDescent="0.25">
      <c r="A16" t="s">
        <v>34</v>
      </c>
    </row>
    <row r="17" spans="1:13" x14ac:dyDescent="0.25">
      <c r="A17" s="53" t="s">
        <v>28</v>
      </c>
    </row>
    <row r="18" spans="1:13" x14ac:dyDescent="0.25">
      <c r="A18" s="53" t="s">
        <v>31</v>
      </c>
    </row>
    <row r="19" spans="1:13" x14ac:dyDescent="0.25">
      <c r="A19" s="53" t="s">
        <v>29</v>
      </c>
    </row>
    <row r="20" spans="1:13" x14ac:dyDescent="0.25">
      <c r="A20" s="53" t="s">
        <v>32</v>
      </c>
    </row>
    <row r="22" spans="1:13" x14ac:dyDescent="0.25">
      <c r="A22" s="62" t="s">
        <v>77</v>
      </c>
      <c r="F22" s="62" t="s">
        <v>76</v>
      </c>
    </row>
    <row r="23" spans="1:13" x14ac:dyDescent="0.25">
      <c r="A23" s="71" t="s">
        <v>70</v>
      </c>
      <c r="B23" s="71" t="s">
        <v>71</v>
      </c>
      <c r="C23" s="71" t="s">
        <v>72</v>
      </c>
      <c r="D23" s="71" t="s">
        <v>73</v>
      </c>
      <c r="F23" s="71" t="s">
        <v>70</v>
      </c>
      <c r="G23" s="71" t="s">
        <v>71</v>
      </c>
      <c r="H23" s="71" t="s">
        <v>72</v>
      </c>
      <c r="I23" s="152" t="s">
        <v>73</v>
      </c>
      <c r="K23" s="72" t="s">
        <v>74</v>
      </c>
      <c r="L23" s="72" t="s">
        <v>75</v>
      </c>
      <c r="M23" s="71" t="s">
        <v>78</v>
      </c>
    </row>
    <row r="24" spans="1:13" ht="15.75" x14ac:dyDescent="0.25">
      <c r="A24" s="65" t="s">
        <v>7</v>
      </c>
      <c r="B24" s="16">
        <v>16.37</v>
      </c>
      <c r="C24" s="56"/>
      <c r="D24" s="63"/>
      <c r="F24" s="65" t="s">
        <v>7</v>
      </c>
      <c r="G24" s="16">
        <v>25.09</v>
      </c>
      <c r="H24" s="56"/>
      <c r="I24" s="63"/>
      <c r="K24" s="63"/>
      <c r="L24" s="73"/>
      <c r="M24" s="63"/>
    </row>
    <row r="25" spans="1:13" ht="15.75" x14ac:dyDescent="0.25">
      <c r="A25" s="65" t="s">
        <v>7</v>
      </c>
      <c r="B25" s="16">
        <v>16.37</v>
      </c>
      <c r="C25" s="59">
        <f>AVERAGE(B24:B26)</f>
        <v>16.33666666666667</v>
      </c>
      <c r="D25" s="68">
        <f>AVERAGE(C25,C28,C31,C34)</f>
        <v>16.797499999999999</v>
      </c>
      <c r="F25" s="65" t="s">
        <v>7</v>
      </c>
      <c r="G25" s="16">
        <v>24.74</v>
      </c>
      <c r="H25" s="59">
        <f>AVERAGE(G24:G26)</f>
        <v>24.906666666666666</v>
      </c>
      <c r="I25" s="68">
        <f>AVERAGE(H25,H28,H31,H34)</f>
        <v>25.535833333333333</v>
      </c>
      <c r="K25" s="69">
        <f>C25-H25</f>
        <v>-8.5699999999999967</v>
      </c>
      <c r="L25" s="74">
        <f>POWER(2,K25)</f>
        <v>2.6313155798158082E-3</v>
      </c>
      <c r="M25" s="70">
        <f>AVERAGE(L25,L28,L31,L34)</f>
        <v>2.3926901095248161E-3</v>
      </c>
    </row>
    <row r="26" spans="1:13" ht="15.75" x14ac:dyDescent="0.25">
      <c r="A26" s="67" t="s">
        <v>7</v>
      </c>
      <c r="B26" s="58">
        <v>16.27</v>
      </c>
      <c r="C26" s="57"/>
      <c r="D26" s="64"/>
      <c r="F26" s="67" t="s">
        <v>7</v>
      </c>
      <c r="G26" s="58">
        <v>24.89</v>
      </c>
      <c r="H26" s="57"/>
      <c r="I26" s="64"/>
      <c r="K26" s="77"/>
      <c r="L26" s="75"/>
      <c r="M26" s="64"/>
    </row>
    <row r="27" spans="1:13" ht="15.75" x14ac:dyDescent="0.25">
      <c r="A27" s="65" t="s">
        <v>8</v>
      </c>
      <c r="B27" s="16">
        <v>16.940000000000001</v>
      </c>
      <c r="C27" s="59"/>
      <c r="D27" s="64"/>
      <c r="F27" s="65" t="s">
        <v>8</v>
      </c>
      <c r="G27" s="16">
        <v>25.88</v>
      </c>
      <c r="H27" s="59"/>
      <c r="I27" s="64"/>
      <c r="K27" s="69"/>
      <c r="L27" s="74"/>
      <c r="M27" s="64"/>
    </row>
    <row r="28" spans="1:13" ht="15.75" x14ac:dyDescent="0.25">
      <c r="A28" s="65" t="s">
        <v>8</v>
      </c>
      <c r="B28" s="16">
        <v>16.940000000000001</v>
      </c>
      <c r="C28" s="59">
        <f>AVERAGE(B27:B29)</f>
        <v>16.846666666666668</v>
      </c>
      <c r="D28" s="64"/>
      <c r="F28" s="65" t="s">
        <v>8</v>
      </c>
      <c r="G28" s="16">
        <v>25.74</v>
      </c>
      <c r="H28" s="59">
        <f>AVERAGE(G27:G29)</f>
        <v>25.816666666666663</v>
      </c>
      <c r="I28" s="64"/>
      <c r="K28" s="69">
        <f>C28-H28</f>
        <v>-8.9699999999999953</v>
      </c>
      <c r="L28" s="74">
        <f>POWER(2,K28)</f>
        <v>1.994164308021869E-3</v>
      </c>
      <c r="M28" s="64"/>
    </row>
    <row r="29" spans="1:13" ht="15.75" x14ac:dyDescent="0.25">
      <c r="A29" s="67" t="s">
        <v>8</v>
      </c>
      <c r="B29" s="58">
        <v>16.66</v>
      </c>
      <c r="C29" s="57"/>
      <c r="D29" s="64"/>
      <c r="F29" s="67" t="s">
        <v>8</v>
      </c>
      <c r="G29" s="58">
        <v>25.83</v>
      </c>
      <c r="H29" s="57"/>
      <c r="I29" s="64"/>
      <c r="K29" s="77"/>
      <c r="L29" s="75"/>
      <c r="M29" s="64"/>
    </row>
    <row r="30" spans="1:13" ht="15.75" x14ac:dyDescent="0.25">
      <c r="A30" s="65" t="s">
        <v>9</v>
      </c>
      <c r="B30" s="16">
        <v>16.96</v>
      </c>
      <c r="C30" s="59"/>
      <c r="D30" s="64"/>
      <c r="F30" s="65" t="s">
        <v>9</v>
      </c>
      <c r="G30" s="16">
        <v>25.54</v>
      </c>
      <c r="H30" s="59"/>
      <c r="I30" s="64"/>
      <c r="K30" s="69"/>
      <c r="L30" s="74"/>
      <c r="M30" s="64"/>
    </row>
    <row r="31" spans="1:13" ht="15.75" x14ac:dyDescent="0.25">
      <c r="A31" s="65" t="s">
        <v>9</v>
      </c>
      <c r="B31" s="16">
        <v>17</v>
      </c>
      <c r="C31" s="59">
        <f>AVERAGE(B30:B32)</f>
        <v>17.063333333333333</v>
      </c>
      <c r="D31" s="64"/>
      <c r="F31" s="65" t="s">
        <v>9</v>
      </c>
      <c r="G31" s="16">
        <v>25.11</v>
      </c>
      <c r="H31" s="59">
        <f>AVERAGE(G30:G32)</f>
        <v>25.400000000000002</v>
      </c>
      <c r="I31" s="64"/>
      <c r="K31" s="69">
        <f>C31-H31</f>
        <v>-8.3366666666666696</v>
      </c>
      <c r="L31" s="74">
        <f>POWER(2,K31)</f>
        <v>3.093237520623899E-3</v>
      </c>
      <c r="M31" s="64"/>
    </row>
    <row r="32" spans="1:13" ht="15.75" x14ac:dyDescent="0.25">
      <c r="A32" s="67" t="s">
        <v>9</v>
      </c>
      <c r="B32" s="58">
        <v>17.23</v>
      </c>
      <c r="C32" s="57"/>
      <c r="D32" s="64"/>
      <c r="F32" s="67" t="s">
        <v>9</v>
      </c>
      <c r="G32" s="58">
        <v>25.55</v>
      </c>
      <c r="H32" s="57"/>
      <c r="I32" s="64"/>
      <c r="K32" s="77"/>
      <c r="L32" s="75"/>
      <c r="M32" s="64"/>
    </row>
    <row r="33" spans="1:13" ht="15.75" x14ac:dyDescent="0.25">
      <c r="A33" s="65" t="s">
        <v>62</v>
      </c>
      <c r="B33" s="16">
        <v>16.98</v>
      </c>
      <c r="C33" s="59"/>
      <c r="D33" s="64"/>
      <c r="F33" s="65" t="s">
        <v>62</v>
      </c>
      <c r="G33" s="16">
        <v>25.76</v>
      </c>
      <c r="H33" s="59"/>
      <c r="I33" s="64"/>
      <c r="K33" s="69"/>
      <c r="L33" s="74"/>
      <c r="M33" s="64"/>
    </row>
    <row r="34" spans="1:13" ht="15.75" x14ac:dyDescent="0.25">
      <c r="A34" s="65" t="s">
        <v>62</v>
      </c>
      <c r="B34" s="16">
        <v>16.72</v>
      </c>
      <c r="C34" s="59">
        <f>AVERAGE(B33:B35)</f>
        <v>16.943333333333332</v>
      </c>
      <c r="D34" s="64"/>
      <c r="F34" s="65" t="s">
        <v>62</v>
      </c>
      <c r="G34" s="16">
        <v>25.87</v>
      </c>
      <c r="H34" s="59">
        <f>AVERAGE(G33:G35)</f>
        <v>26.02</v>
      </c>
      <c r="I34" s="64"/>
      <c r="K34" s="69">
        <f>C34-H34</f>
        <v>-9.076666666666668</v>
      </c>
      <c r="L34" s="74">
        <f t="shared" ref="L34" si="0">POWER(2,K34)</f>
        <v>1.8520430296376893E-3</v>
      </c>
      <c r="M34" s="64"/>
    </row>
    <row r="35" spans="1:13" ht="15.75" x14ac:dyDescent="0.25">
      <c r="A35" s="67" t="s">
        <v>62</v>
      </c>
      <c r="B35" s="58">
        <v>17.13</v>
      </c>
      <c r="C35" s="57"/>
      <c r="D35" s="61"/>
      <c r="F35" s="67" t="s">
        <v>62</v>
      </c>
      <c r="G35" s="58">
        <v>26.43</v>
      </c>
      <c r="H35" s="57"/>
      <c r="I35" s="64"/>
      <c r="K35" s="77"/>
      <c r="L35" s="75"/>
      <c r="M35" s="61"/>
    </row>
    <row r="36" spans="1:13" ht="15.75" x14ac:dyDescent="0.25">
      <c r="A36" s="65" t="s">
        <v>11</v>
      </c>
      <c r="B36" s="16">
        <v>16.3</v>
      </c>
      <c r="C36" s="16"/>
      <c r="D36" s="64"/>
      <c r="F36" s="65" t="s">
        <v>11</v>
      </c>
      <c r="G36" s="16">
        <v>22.66</v>
      </c>
      <c r="H36" s="16"/>
      <c r="I36" s="63"/>
      <c r="K36" s="69"/>
      <c r="L36" s="74"/>
      <c r="M36" s="63"/>
    </row>
    <row r="37" spans="1:13" ht="15.75" x14ac:dyDescent="0.25">
      <c r="A37" s="65" t="s">
        <v>11</v>
      </c>
      <c r="B37" s="16">
        <v>16.07</v>
      </c>
      <c r="C37" s="59">
        <f>AVERAGE(B36:B38)</f>
        <v>16.163333333333338</v>
      </c>
      <c r="D37" s="68">
        <f>AVERAGE(C37,C40,C43)</f>
        <v>16.521111111111111</v>
      </c>
      <c r="F37" s="65" t="s">
        <v>11</v>
      </c>
      <c r="G37" s="16">
        <v>22.47</v>
      </c>
      <c r="H37" s="59">
        <f>AVERAGE(G36:G38)</f>
        <v>22.616666666666664</v>
      </c>
      <c r="I37" s="68">
        <f>AVERAGE(H37,H40,H43)</f>
        <v>23.332222222222224</v>
      </c>
      <c r="K37" s="69">
        <f>C37-H37</f>
        <v>-6.453333333333326</v>
      </c>
      <c r="L37" s="74">
        <f t="shared" ref="L37" si="1">POWER(2,K37)</f>
        <v>1.1411772223516255E-2</v>
      </c>
      <c r="M37" s="70">
        <f>AVERAGE(L37,L40,L43)</f>
        <v>9.647860296106597E-3</v>
      </c>
    </row>
    <row r="38" spans="1:13" ht="15.75" x14ac:dyDescent="0.25">
      <c r="A38" s="67" t="s">
        <v>11</v>
      </c>
      <c r="B38" s="58">
        <v>16.12</v>
      </c>
      <c r="C38" s="57"/>
      <c r="D38" s="64"/>
      <c r="F38" s="67" t="s">
        <v>11</v>
      </c>
      <c r="G38" s="58">
        <v>22.72</v>
      </c>
      <c r="H38" s="57"/>
      <c r="I38" s="64"/>
      <c r="K38" s="77"/>
      <c r="L38" s="75"/>
      <c r="M38" s="64"/>
    </row>
    <row r="39" spans="1:13" ht="15.75" x14ac:dyDescent="0.25">
      <c r="A39" s="65" t="s">
        <v>13</v>
      </c>
      <c r="B39" s="16">
        <v>17.350000000000001</v>
      </c>
      <c r="C39" s="59"/>
      <c r="D39" s="64"/>
      <c r="F39" s="65" t="s">
        <v>13</v>
      </c>
      <c r="G39" s="16">
        <v>24.77</v>
      </c>
      <c r="H39" s="59"/>
      <c r="I39" s="64"/>
      <c r="K39" s="69"/>
      <c r="L39" s="74"/>
      <c r="M39" s="64"/>
    </row>
    <row r="40" spans="1:13" ht="15.75" x14ac:dyDescent="0.25">
      <c r="A40" s="65" t="s">
        <v>13</v>
      </c>
      <c r="B40" s="16">
        <v>17.079999999999998</v>
      </c>
      <c r="C40" s="59">
        <f>AVERAGE(B39:B41)</f>
        <v>17.133333333333333</v>
      </c>
      <c r="D40" s="68"/>
      <c r="F40" s="65" t="s">
        <v>13</v>
      </c>
      <c r="G40" s="16">
        <v>24.84</v>
      </c>
      <c r="H40" s="59">
        <f>AVERAGE(G39:G41)</f>
        <v>24.806666666666668</v>
      </c>
      <c r="I40" s="68"/>
      <c r="K40" s="69">
        <f>C40-H40</f>
        <v>-7.6733333333333356</v>
      </c>
      <c r="L40" s="74">
        <f t="shared" ref="L40" si="2">POWER(2,K40)</f>
        <v>4.8988765998057007E-3</v>
      </c>
      <c r="M40" s="64"/>
    </row>
    <row r="41" spans="1:13" ht="15.75" x14ac:dyDescent="0.25">
      <c r="A41" s="67" t="s">
        <v>13</v>
      </c>
      <c r="B41" s="58">
        <v>16.97</v>
      </c>
      <c r="C41" s="57"/>
      <c r="D41" s="64"/>
      <c r="F41" s="67" t="s">
        <v>13</v>
      </c>
      <c r="G41" s="58">
        <v>24.81</v>
      </c>
      <c r="H41" s="57"/>
      <c r="I41" s="64"/>
      <c r="K41" s="77"/>
      <c r="L41" s="75"/>
      <c r="M41" s="64"/>
    </row>
    <row r="42" spans="1:13" ht="15.75" x14ac:dyDescent="0.25">
      <c r="A42" s="65" t="s">
        <v>15</v>
      </c>
      <c r="B42" s="16">
        <v>16.440000000000001</v>
      </c>
      <c r="C42" s="59"/>
      <c r="D42" s="64"/>
      <c r="F42" s="65" t="s">
        <v>15</v>
      </c>
      <c r="G42" s="16">
        <v>22.56</v>
      </c>
      <c r="H42" s="59"/>
      <c r="I42" s="64"/>
      <c r="K42" s="69"/>
      <c r="L42" s="74"/>
      <c r="M42" s="64"/>
    </row>
    <row r="43" spans="1:13" ht="15.75" x14ac:dyDescent="0.25">
      <c r="A43" s="65" t="s">
        <v>15</v>
      </c>
      <c r="B43" s="16">
        <v>16.23</v>
      </c>
      <c r="C43" s="59">
        <f>AVERAGE(B42:B44)</f>
        <v>16.266666666666666</v>
      </c>
      <c r="D43" s="64"/>
      <c r="F43" s="65" t="s">
        <v>15</v>
      </c>
      <c r="G43" s="16">
        <v>22.67</v>
      </c>
      <c r="H43" s="59">
        <f>AVERAGE(G42:G44)</f>
        <v>22.573333333333334</v>
      </c>
      <c r="I43" s="64"/>
      <c r="K43" s="69">
        <f>C43-H43</f>
        <v>-6.3066666666666684</v>
      </c>
      <c r="L43" s="74">
        <f t="shared" ref="L43" si="3">POWER(2,K43)</f>
        <v>1.2632932064997831E-2</v>
      </c>
      <c r="M43" s="64"/>
    </row>
    <row r="44" spans="1:13" ht="15.75" x14ac:dyDescent="0.25">
      <c r="A44" s="67" t="s">
        <v>15</v>
      </c>
      <c r="B44" s="58">
        <v>16.13</v>
      </c>
      <c r="C44" s="57"/>
      <c r="D44" s="61"/>
      <c r="F44" s="67" t="s">
        <v>15</v>
      </c>
      <c r="G44" s="58">
        <v>22.49</v>
      </c>
      <c r="H44" s="57"/>
      <c r="I44" s="64"/>
      <c r="K44" s="77"/>
      <c r="L44" s="75"/>
      <c r="M44" s="61"/>
    </row>
    <row r="45" spans="1:13" ht="15.75" x14ac:dyDescent="0.25">
      <c r="A45" s="65" t="s">
        <v>26</v>
      </c>
      <c r="B45" s="16">
        <v>17.329999999999998</v>
      </c>
      <c r="C45" s="16"/>
      <c r="D45" s="64"/>
      <c r="F45" s="65" t="s">
        <v>26</v>
      </c>
      <c r="G45" s="16">
        <v>26.31</v>
      </c>
      <c r="H45" s="16"/>
      <c r="I45" s="63"/>
      <c r="K45" s="69"/>
      <c r="L45" s="74"/>
      <c r="M45" s="63"/>
    </row>
    <row r="46" spans="1:13" ht="15.75" x14ac:dyDescent="0.25">
      <c r="A46" s="65" t="s">
        <v>26</v>
      </c>
      <c r="B46" s="16">
        <v>17.75</v>
      </c>
      <c r="C46" s="59">
        <f>AVERAGE(B45:B47)</f>
        <v>17.53</v>
      </c>
      <c r="D46" s="68">
        <f>AVERAGE(C46,C49,C52)</f>
        <v>17.432222222222226</v>
      </c>
      <c r="F46" s="65" t="s">
        <v>26</v>
      </c>
      <c r="G46" s="16">
        <v>26.19</v>
      </c>
      <c r="H46" s="59">
        <f>AVERAGE(G45:G47)</f>
        <v>26.206666666666667</v>
      </c>
      <c r="I46" s="68">
        <f>AVERAGE(H46,H49,H52)</f>
        <v>25.968888888888888</v>
      </c>
      <c r="K46" s="69">
        <f>C46-H46</f>
        <v>-8.6766666666666659</v>
      </c>
      <c r="L46" s="74">
        <f t="shared" ref="L46" si="4">POWER(2,K46)</f>
        <v>2.4437854286987314E-3</v>
      </c>
      <c r="M46" s="70">
        <f>AVERAGE(L46,L49,L52)</f>
        <v>2.7928628949124988E-3</v>
      </c>
    </row>
    <row r="47" spans="1:13" ht="15.75" x14ac:dyDescent="0.25">
      <c r="A47" s="67" t="s">
        <v>26</v>
      </c>
      <c r="B47" s="58">
        <v>17.510000000000002</v>
      </c>
      <c r="C47" s="57"/>
      <c r="D47" s="64"/>
      <c r="F47" s="67" t="s">
        <v>26</v>
      </c>
      <c r="G47" s="58">
        <v>26.12</v>
      </c>
      <c r="H47" s="57"/>
      <c r="I47" s="64"/>
      <c r="K47" s="77"/>
      <c r="L47" s="75"/>
      <c r="M47" s="64"/>
    </row>
    <row r="48" spans="1:13" ht="15.75" x14ac:dyDescent="0.25">
      <c r="A48" s="65" t="s">
        <v>16</v>
      </c>
      <c r="B48" s="16">
        <v>17.84</v>
      </c>
      <c r="C48" s="59"/>
      <c r="D48" s="64"/>
      <c r="F48" s="65" t="s">
        <v>16</v>
      </c>
      <c r="G48" s="16">
        <v>25.81</v>
      </c>
      <c r="H48" s="59"/>
      <c r="I48" s="64"/>
      <c r="K48" s="69"/>
      <c r="L48" s="74"/>
      <c r="M48" s="64"/>
    </row>
    <row r="49" spans="1:13" ht="15.75" x14ac:dyDescent="0.25">
      <c r="A49" s="65" t="s">
        <v>16</v>
      </c>
      <c r="B49" s="16">
        <v>17.88</v>
      </c>
      <c r="C49" s="59">
        <f>AVERAGE(B48:B50)</f>
        <v>17.853333333333335</v>
      </c>
      <c r="D49" s="68"/>
      <c r="F49" s="65" t="s">
        <v>16</v>
      </c>
      <c r="G49" s="16">
        <v>25.85</v>
      </c>
      <c r="H49" s="59">
        <f>AVERAGE(G48:G50)</f>
        <v>25.866666666666664</v>
      </c>
      <c r="I49" s="68"/>
      <c r="K49" s="69">
        <f>C49-H49</f>
        <v>-8.0133333333333283</v>
      </c>
      <c r="L49" s="74">
        <f t="shared" ref="L49" si="5">POWER(2,K49)</f>
        <v>3.8703148955673162E-3</v>
      </c>
      <c r="M49" s="64"/>
    </row>
    <row r="50" spans="1:13" ht="15.75" x14ac:dyDescent="0.25">
      <c r="A50" s="67" t="s">
        <v>16</v>
      </c>
      <c r="B50" s="58">
        <v>17.84</v>
      </c>
      <c r="C50" s="57"/>
      <c r="D50" s="64"/>
      <c r="F50" s="67" t="s">
        <v>16</v>
      </c>
      <c r="G50" s="58">
        <v>25.94</v>
      </c>
      <c r="H50" s="57"/>
      <c r="I50" s="64"/>
      <c r="K50" s="77"/>
      <c r="L50" s="75"/>
      <c r="M50" s="64"/>
    </row>
    <row r="51" spans="1:13" ht="15.75" x14ac:dyDescent="0.25">
      <c r="A51" s="65" t="s">
        <v>17</v>
      </c>
      <c r="B51" s="16">
        <v>17.04</v>
      </c>
      <c r="C51" s="59"/>
      <c r="D51" s="64"/>
      <c r="F51" s="65" t="s">
        <v>17</v>
      </c>
      <c r="G51" s="16">
        <v>25.76</v>
      </c>
      <c r="H51" s="59"/>
      <c r="I51" s="64"/>
      <c r="K51" s="69"/>
      <c r="L51" s="74"/>
      <c r="M51" s="64"/>
    </row>
    <row r="52" spans="1:13" ht="15.75" x14ac:dyDescent="0.25">
      <c r="A52" s="65" t="s">
        <v>17</v>
      </c>
      <c r="B52" s="16">
        <v>17.13</v>
      </c>
      <c r="C52" s="59">
        <f>AVERAGE(B51:B53)</f>
        <v>16.913333333333334</v>
      </c>
      <c r="D52" s="68"/>
      <c r="F52" s="65" t="s">
        <v>17</v>
      </c>
      <c r="G52" s="16">
        <v>25.74</v>
      </c>
      <c r="H52" s="59">
        <f>AVERAGE(G51:G53)</f>
        <v>25.833333333333332</v>
      </c>
      <c r="I52" s="68"/>
      <c r="K52" s="69">
        <f>C52-H52</f>
        <v>-8.9199999999999982</v>
      </c>
      <c r="L52" s="74">
        <f t="shared" ref="L52" si="6">POWER(2,K52)</f>
        <v>2.0644883604714489E-3</v>
      </c>
      <c r="M52" s="64"/>
    </row>
    <row r="53" spans="1:13" ht="15.75" x14ac:dyDescent="0.25">
      <c r="A53" s="67" t="s">
        <v>17</v>
      </c>
      <c r="B53" s="58">
        <v>16.57</v>
      </c>
      <c r="C53" s="57"/>
      <c r="D53" s="61"/>
      <c r="F53" s="67" t="s">
        <v>17</v>
      </c>
      <c r="G53" s="58">
        <v>26</v>
      </c>
      <c r="H53" s="57"/>
      <c r="I53" s="64"/>
      <c r="K53" s="77"/>
      <c r="L53" s="75"/>
      <c r="M53" s="61"/>
    </row>
    <row r="54" spans="1:13" ht="15.75" x14ac:dyDescent="0.25">
      <c r="A54" s="65" t="s">
        <v>20</v>
      </c>
      <c r="B54" s="16">
        <v>16.91</v>
      </c>
      <c r="C54" s="59"/>
      <c r="D54" s="64"/>
      <c r="F54" s="65" t="s">
        <v>20</v>
      </c>
      <c r="G54" s="16">
        <v>25.07</v>
      </c>
      <c r="H54" s="59"/>
      <c r="I54" s="63"/>
      <c r="K54" s="69"/>
      <c r="L54" s="74"/>
      <c r="M54" s="63"/>
    </row>
    <row r="55" spans="1:13" ht="15.75" x14ac:dyDescent="0.25">
      <c r="A55" s="65" t="s">
        <v>20</v>
      </c>
      <c r="B55" s="16">
        <v>16.809999999999999</v>
      </c>
      <c r="C55" s="59">
        <f>AVERAGE(B54:B56)</f>
        <v>16.813333333333333</v>
      </c>
      <c r="D55" s="68">
        <f>AVERAGE(C55,C58,C61,C64,C67)</f>
        <v>16.953666666666667</v>
      </c>
      <c r="F55" s="65" t="s">
        <v>20</v>
      </c>
      <c r="G55" s="16">
        <v>24.23</v>
      </c>
      <c r="H55" s="59">
        <f>AVERAGE(G54:G56)</f>
        <v>24.626666666666665</v>
      </c>
      <c r="I55" s="68">
        <f>AVERAGE(H55,H58,H61,H64,H67)</f>
        <v>24.808666666666667</v>
      </c>
      <c r="K55" s="69">
        <f>C55-H55</f>
        <v>-7.8133333333333326</v>
      </c>
      <c r="L55" s="74">
        <f t="shared" ref="L55" si="7">POWER(2,K55)</f>
        <v>4.4458243538586855E-3</v>
      </c>
      <c r="M55" s="70">
        <f>AVERAGE(L55,L58,L61,L64,L67)</f>
        <v>4.3468791260481039E-3</v>
      </c>
    </row>
    <row r="56" spans="1:13" ht="15.75" x14ac:dyDescent="0.25">
      <c r="A56" s="67" t="s">
        <v>20</v>
      </c>
      <c r="B56" s="58">
        <v>16.72</v>
      </c>
      <c r="C56" s="57"/>
      <c r="D56" s="64"/>
      <c r="F56" s="67" t="s">
        <v>20</v>
      </c>
      <c r="G56" s="58">
        <v>24.58</v>
      </c>
      <c r="H56" s="57"/>
      <c r="I56" s="64"/>
      <c r="K56" s="77"/>
      <c r="L56" s="75"/>
      <c r="M56" s="64"/>
    </row>
    <row r="57" spans="1:13" ht="15.75" x14ac:dyDescent="0.25">
      <c r="A57" s="65" t="s">
        <v>21</v>
      </c>
      <c r="B57" s="16">
        <v>16.84</v>
      </c>
      <c r="C57" s="59"/>
      <c r="D57" s="64"/>
      <c r="F57" s="65" t="s">
        <v>21</v>
      </c>
      <c r="G57" s="16">
        <v>24.77</v>
      </c>
      <c r="H57" s="59"/>
      <c r="I57" s="64"/>
      <c r="K57" s="69"/>
      <c r="L57" s="74"/>
      <c r="M57" s="64"/>
    </row>
    <row r="58" spans="1:13" ht="15.75" x14ac:dyDescent="0.25">
      <c r="A58" s="65" t="s">
        <v>21</v>
      </c>
      <c r="B58" s="16">
        <v>17.07</v>
      </c>
      <c r="C58" s="59">
        <f>AVERAGE(B57:B59)</f>
        <v>16.95</v>
      </c>
      <c r="D58" s="68"/>
      <c r="F58" s="65" t="s">
        <v>21</v>
      </c>
      <c r="G58" s="16">
        <v>24.19</v>
      </c>
      <c r="H58" s="59">
        <f>AVERAGE(G57:G59)</f>
        <v>24.556666666666668</v>
      </c>
      <c r="I58" s="68"/>
      <c r="K58" s="69">
        <f>C58-H58</f>
        <v>-7.6066666666666691</v>
      </c>
      <c r="L58" s="74">
        <f t="shared" ref="L58" si="8">POWER(2,K58)</f>
        <v>5.1305646714000074E-3</v>
      </c>
      <c r="M58" s="64"/>
    </row>
    <row r="59" spans="1:13" ht="15.75" x14ac:dyDescent="0.25">
      <c r="A59" s="67" t="s">
        <v>21</v>
      </c>
      <c r="B59" s="58">
        <v>16.940000000000001</v>
      </c>
      <c r="C59" s="57"/>
      <c r="D59" s="64"/>
      <c r="F59" s="67" t="s">
        <v>21</v>
      </c>
      <c r="G59" s="58">
        <v>24.71</v>
      </c>
      <c r="H59" s="57"/>
      <c r="I59" s="64"/>
      <c r="K59" s="77"/>
      <c r="L59" s="75"/>
      <c r="M59" s="64"/>
    </row>
    <row r="60" spans="1:13" ht="15.75" x14ac:dyDescent="0.25">
      <c r="A60" s="65" t="s">
        <v>47</v>
      </c>
      <c r="B60" s="16">
        <v>16.920000000000002</v>
      </c>
      <c r="C60" s="59"/>
      <c r="D60" s="64"/>
      <c r="F60" s="65" t="s">
        <v>47</v>
      </c>
      <c r="G60" s="16">
        <v>24.97</v>
      </c>
      <c r="H60" s="59"/>
      <c r="I60" s="64"/>
      <c r="K60" s="69"/>
      <c r="L60" s="74"/>
      <c r="M60" s="64"/>
    </row>
    <row r="61" spans="1:13" ht="15.75" x14ac:dyDescent="0.25">
      <c r="A61" s="65" t="s">
        <v>47</v>
      </c>
      <c r="B61" s="16"/>
      <c r="C61" s="59">
        <f>AVERAGE(B60:B62)</f>
        <v>16.905000000000001</v>
      </c>
      <c r="D61" s="68"/>
      <c r="F61" s="65" t="s">
        <v>47</v>
      </c>
      <c r="G61" s="16">
        <v>24.93</v>
      </c>
      <c r="H61" s="59">
        <f>AVERAGE(G60:G62)</f>
        <v>24.896666666666665</v>
      </c>
      <c r="I61" s="68"/>
      <c r="K61" s="69">
        <f>C61-H61</f>
        <v>-7.9916666666666636</v>
      </c>
      <c r="L61" s="74">
        <f t="shared" ref="L61" si="9">POWER(2,K61)</f>
        <v>3.928878676046312E-3</v>
      </c>
      <c r="M61" s="64"/>
    </row>
    <row r="62" spans="1:13" ht="15.75" x14ac:dyDescent="0.25">
      <c r="A62" s="67" t="s">
        <v>47</v>
      </c>
      <c r="B62" s="58">
        <v>16.89</v>
      </c>
      <c r="C62" s="57"/>
      <c r="D62" s="64"/>
      <c r="F62" s="67" t="s">
        <v>47</v>
      </c>
      <c r="G62" s="58">
        <v>24.79</v>
      </c>
      <c r="H62" s="57"/>
      <c r="I62" s="64"/>
      <c r="K62" s="77"/>
      <c r="L62" s="75"/>
      <c r="M62" s="64"/>
    </row>
    <row r="63" spans="1:13" ht="15.75" x14ac:dyDescent="0.25">
      <c r="A63" s="65" t="s">
        <v>22</v>
      </c>
      <c r="B63" s="16">
        <v>16.86</v>
      </c>
      <c r="C63" s="59"/>
      <c r="D63" s="64"/>
      <c r="F63" s="65" t="s">
        <v>22</v>
      </c>
      <c r="G63" s="16">
        <v>25.24</v>
      </c>
      <c r="H63" s="59"/>
      <c r="I63" s="64"/>
      <c r="K63" s="69"/>
      <c r="L63" s="74"/>
      <c r="M63" s="64"/>
    </row>
    <row r="64" spans="1:13" ht="15.75" x14ac:dyDescent="0.25">
      <c r="A64" s="65" t="s">
        <v>22</v>
      </c>
      <c r="B64" s="16">
        <v>17.149999999999999</v>
      </c>
      <c r="C64" s="59">
        <f>AVERAGE(B63:B65)</f>
        <v>17.02333333333333</v>
      </c>
      <c r="D64" s="68"/>
      <c r="F64" s="65" t="s">
        <v>22</v>
      </c>
      <c r="G64" s="16">
        <v>24.86</v>
      </c>
      <c r="H64" s="59">
        <f>AVERAGE(G63:G65)</f>
        <v>25.093333333333334</v>
      </c>
      <c r="I64" s="68"/>
      <c r="K64" s="69">
        <f>C64-H64</f>
        <v>-8.0700000000000038</v>
      </c>
      <c r="L64" s="74">
        <f t="shared" ref="L64" si="10">POWER(2,K64)</f>
        <v>3.7212421798591207E-3</v>
      </c>
      <c r="M64" s="64"/>
    </row>
    <row r="65" spans="1:13" ht="15.75" x14ac:dyDescent="0.25">
      <c r="A65" s="67" t="s">
        <v>22</v>
      </c>
      <c r="B65" s="58">
        <v>17.059999999999999</v>
      </c>
      <c r="C65" s="57"/>
      <c r="D65" s="64"/>
      <c r="F65" s="67" t="s">
        <v>22</v>
      </c>
      <c r="G65" s="58">
        <v>25.18</v>
      </c>
      <c r="H65" s="57"/>
      <c r="I65" s="64"/>
      <c r="K65" s="77"/>
      <c r="L65" s="75"/>
      <c r="M65" s="64"/>
    </row>
    <row r="66" spans="1:13" ht="15.75" x14ac:dyDescent="0.25">
      <c r="A66" s="65" t="s">
        <v>23</v>
      </c>
      <c r="B66" s="16">
        <v>16.89</v>
      </c>
      <c r="C66" s="59"/>
      <c r="D66" s="64"/>
      <c r="F66" s="65" t="s">
        <v>23</v>
      </c>
      <c r="G66" s="16">
        <v>24.79</v>
      </c>
      <c r="H66" s="59"/>
      <c r="I66" s="64"/>
      <c r="K66" s="69"/>
      <c r="L66" s="74"/>
      <c r="M66" s="64"/>
    </row>
    <row r="67" spans="1:13" ht="15.75" x14ac:dyDescent="0.25">
      <c r="A67" s="65" t="s">
        <v>23</v>
      </c>
      <c r="B67" s="16">
        <v>17.12</v>
      </c>
      <c r="C67" s="59">
        <f>AVERAGE(B66:B68)</f>
        <v>17.076666666666668</v>
      </c>
      <c r="D67" s="68"/>
      <c r="F67" s="65" t="s">
        <v>23</v>
      </c>
      <c r="G67" s="16">
        <v>24.84</v>
      </c>
      <c r="H67" s="59">
        <f>AVERAGE(G66:G68)</f>
        <v>24.87</v>
      </c>
      <c r="I67" s="68"/>
      <c r="K67" s="69">
        <f>C67-H67</f>
        <v>-7.793333333333333</v>
      </c>
      <c r="L67" s="74">
        <f t="shared" ref="L67" si="11">POWER(2,K67)</f>
        <v>4.5078857490763935E-3</v>
      </c>
      <c r="M67" s="64"/>
    </row>
    <row r="68" spans="1:13" ht="15.75" x14ac:dyDescent="0.25">
      <c r="A68" s="67" t="s">
        <v>23</v>
      </c>
      <c r="B68" s="58">
        <v>17.22</v>
      </c>
      <c r="C68" s="57"/>
      <c r="D68" s="61"/>
      <c r="E68" s="16"/>
      <c r="F68" s="67" t="s">
        <v>23</v>
      </c>
      <c r="G68" s="58">
        <v>24.98</v>
      </c>
      <c r="H68" s="57"/>
      <c r="I68" s="61"/>
      <c r="K68" s="77"/>
      <c r="L68" s="76"/>
      <c r="M68" s="61"/>
    </row>
    <row r="69" spans="1:13" ht="15.75" x14ac:dyDescent="0.25">
      <c r="A69" s="55"/>
      <c r="C69" s="59"/>
      <c r="D69" s="16"/>
      <c r="E69" s="16"/>
      <c r="F69" s="60"/>
      <c r="G69" s="16"/>
      <c r="H69" s="59"/>
      <c r="I69" s="16"/>
      <c r="K69" s="16"/>
      <c r="L69" s="16"/>
    </row>
    <row r="70" spans="1:13" ht="15.75" x14ac:dyDescent="0.25">
      <c r="A70" s="55"/>
      <c r="C70" s="59"/>
      <c r="D70" s="16"/>
      <c r="E70" s="16"/>
      <c r="F70" s="60"/>
      <c r="G70" s="16"/>
      <c r="H70" s="59"/>
      <c r="I70" s="16"/>
      <c r="K70" s="16"/>
      <c r="L70" s="16"/>
    </row>
    <row r="71" spans="1:13" ht="15.75" x14ac:dyDescent="0.25">
      <c r="A71" s="55"/>
      <c r="C71" s="7"/>
      <c r="F71" s="55"/>
      <c r="H71" s="7"/>
    </row>
  </sheetData>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64367-D589-4D64-85D6-AC8F7E2DC609}">
  <dimension ref="A1:T51"/>
  <sheetViews>
    <sheetView workbookViewId="0">
      <selection activeCell="L11" sqref="L11"/>
    </sheetView>
  </sheetViews>
  <sheetFormatPr baseColWidth="10" defaultRowHeight="15" x14ac:dyDescent="0.25"/>
  <cols>
    <col min="17" max="17" width="20.5703125" customWidth="1"/>
    <col min="19" max="19" width="28.7109375" customWidth="1"/>
  </cols>
  <sheetData>
    <row r="1" spans="1:4" x14ac:dyDescent="0.25">
      <c r="A1" s="1" t="s">
        <v>46</v>
      </c>
      <c r="C1" s="106"/>
      <c r="D1" s="107"/>
    </row>
    <row r="2" spans="1:4" x14ac:dyDescent="0.25">
      <c r="C2" s="135"/>
    </row>
    <row r="3" spans="1:4" x14ac:dyDescent="0.25">
      <c r="A3" s="1" t="s">
        <v>2</v>
      </c>
    </row>
    <row r="4" spans="1:4" x14ac:dyDescent="0.25">
      <c r="A4" s="6" t="s">
        <v>110</v>
      </c>
    </row>
    <row r="5" spans="1:4" x14ac:dyDescent="0.25">
      <c r="A5" s="6" t="s">
        <v>98</v>
      </c>
    </row>
    <row r="6" spans="1:4" x14ac:dyDescent="0.25">
      <c r="A6" s="6" t="s">
        <v>111</v>
      </c>
    </row>
    <row r="7" spans="1:4" x14ac:dyDescent="0.25">
      <c r="A7" s="6" t="s">
        <v>112</v>
      </c>
    </row>
    <row r="8" spans="1:4" x14ac:dyDescent="0.25">
      <c r="A8" s="6" t="s">
        <v>113</v>
      </c>
    </row>
    <row r="9" spans="1:4" x14ac:dyDescent="0.25">
      <c r="A9" s="6" t="s">
        <v>114</v>
      </c>
    </row>
    <row r="10" spans="1:4" x14ac:dyDescent="0.25">
      <c r="A10" s="6" t="s">
        <v>115</v>
      </c>
    </row>
    <row r="11" spans="1:4" x14ac:dyDescent="0.25">
      <c r="A11" s="1"/>
    </row>
    <row r="12" spans="1:4" x14ac:dyDescent="0.25">
      <c r="A12" s="1"/>
    </row>
    <row r="13" spans="1:4" x14ac:dyDescent="0.25">
      <c r="A13" s="1" t="s">
        <v>3</v>
      </c>
    </row>
    <row r="14" spans="1:4" x14ac:dyDescent="0.25">
      <c r="A14" t="s">
        <v>80</v>
      </c>
    </row>
    <row r="15" spans="1:4" x14ac:dyDescent="0.25">
      <c r="A15" t="s">
        <v>30</v>
      </c>
    </row>
    <row r="17" spans="1:20" x14ac:dyDescent="0.25">
      <c r="A17" t="s">
        <v>34</v>
      </c>
    </row>
    <row r="18" spans="1:20" x14ac:dyDescent="0.25">
      <c r="A18" s="53" t="s">
        <v>28</v>
      </c>
    </row>
    <row r="19" spans="1:20" x14ac:dyDescent="0.25">
      <c r="A19" s="53" t="s">
        <v>48</v>
      </c>
    </row>
    <row r="20" spans="1:20" x14ac:dyDescent="0.25">
      <c r="A20" s="53" t="s">
        <v>49</v>
      </c>
    </row>
    <row r="21" spans="1:20" x14ac:dyDescent="0.25">
      <c r="A21" s="53" t="s">
        <v>32</v>
      </c>
    </row>
    <row r="23" spans="1:20" x14ac:dyDescent="0.25">
      <c r="A23" t="s">
        <v>84</v>
      </c>
    </row>
    <row r="24" spans="1:20" x14ac:dyDescent="0.25">
      <c r="A24" s="1" t="s">
        <v>85</v>
      </c>
      <c r="I24" s="1" t="s">
        <v>86</v>
      </c>
    </row>
    <row r="25" spans="1:20" ht="15.75" thickBot="1" x14ac:dyDescent="0.3">
      <c r="B25" t="s">
        <v>87</v>
      </c>
      <c r="C25" t="s">
        <v>88</v>
      </c>
      <c r="D25" t="s">
        <v>89</v>
      </c>
      <c r="E25" t="s">
        <v>90</v>
      </c>
      <c r="G25" t="s">
        <v>91</v>
      </c>
      <c r="J25" t="s">
        <v>87</v>
      </c>
      <c r="K25" t="s">
        <v>88</v>
      </c>
      <c r="L25" t="s">
        <v>89</v>
      </c>
      <c r="M25" t="s">
        <v>90</v>
      </c>
      <c r="O25" t="s">
        <v>91</v>
      </c>
      <c r="Q25" t="s">
        <v>92</v>
      </c>
      <c r="R25" t="s">
        <v>93</v>
      </c>
      <c r="S25" t="s">
        <v>94</v>
      </c>
      <c r="T25" t="s">
        <v>95</v>
      </c>
    </row>
    <row r="26" spans="1:20" x14ac:dyDescent="0.25">
      <c r="A26" s="108" t="s">
        <v>7</v>
      </c>
      <c r="B26" s="109">
        <v>196.03100000000001</v>
      </c>
      <c r="C26" s="110">
        <f>255-B26</f>
        <v>58.968999999999994</v>
      </c>
      <c r="D26" s="109">
        <v>253.07300000000001</v>
      </c>
      <c r="E26" s="110">
        <f>255-D26</f>
        <v>1.9269999999999925</v>
      </c>
      <c r="F26" s="111"/>
      <c r="G26" s="110">
        <f>C26-E26</f>
        <v>57.042000000000002</v>
      </c>
      <c r="H26" s="111"/>
      <c r="I26" s="111" t="s">
        <v>7</v>
      </c>
      <c r="J26" s="109">
        <v>209.44499999999999</v>
      </c>
      <c r="K26" s="110">
        <f>255-J26</f>
        <v>45.555000000000007</v>
      </c>
      <c r="L26" s="109">
        <v>246.96</v>
      </c>
      <c r="M26" s="110">
        <f>255-L26</f>
        <v>8.039999999999992</v>
      </c>
      <c r="N26" s="111"/>
      <c r="O26" s="110">
        <f>K26-M26</f>
        <v>37.515000000000015</v>
      </c>
      <c r="P26" s="111"/>
      <c r="Q26" s="112">
        <f>G26/O26</f>
        <v>1.5205117952818867</v>
      </c>
      <c r="R26" s="113">
        <f>AVERAGE(Q26:Q29)</f>
        <v>1.4255287032774486</v>
      </c>
      <c r="S26" s="132">
        <f>Q26/$R$26</f>
        <v>1.0666300803246271</v>
      </c>
      <c r="T26" s="124">
        <f>AVERAGE(S26:S29)</f>
        <v>1</v>
      </c>
    </row>
    <row r="27" spans="1:20" x14ac:dyDescent="0.25">
      <c r="A27" s="114" t="s">
        <v>8</v>
      </c>
      <c r="B27" s="127">
        <v>192.358</v>
      </c>
      <c r="C27" s="128">
        <f t="shared" ref="C27:C51" si="0">255-B27</f>
        <v>62.641999999999996</v>
      </c>
      <c r="D27" s="127">
        <v>253.09200000000001</v>
      </c>
      <c r="E27" s="128">
        <f t="shared" ref="E27:E51" si="1">255-D27</f>
        <v>1.907999999999987</v>
      </c>
      <c r="F27" s="16"/>
      <c r="G27" s="128">
        <f t="shared" ref="G27:G37" si="2">C27-E27</f>
        <v>60.734000000000009</v>
      </c>
      <c r="H27" s="16"/>
      <c r="I27" s="16" t="s">
        <v>8</v>
      </c>
      <c r="J27" s="127">
        <v>203.809</v>
      </c>
      <c r="K27" s="128">
        <f t="shared" ref="K27:K51" si="3">255-J27</f>
        <v>51.191000000000003</v>
      </c>
      <c r="L27" s="127">
        <v>246.779</v>
      </c>
      <c r="M27" s="128">
        <f t="shared" ref="M27:M51" si="4">255-L27</f>
        <v>8.2210000000000036</v>
      </c>
      <c r="N27" s="16"/>
      <c r="O27" s="128">
        <f t="shared" ref="O27:O51" si="5">K27-M27</f>
        <v>42.97</v>
      </c>
      <c r="P27" s="16"/>
      <c r="Q27" s="129">
        <f t="shared" ref="Q27:Q51" si="6">G27/O27</f>
        <v>1.4134047009541544</v>
      </c>
      <c r="R27" s="130"/>
      <c r="S27" s="126">
        <f t="shared" ref="S27:S38" si="7">Q27/$R$26</f>
        <v>0.99149508368690165</v>
      </c>
      <c r="T27" s="83"/>
    </row>
    <row r="28" spans="1:20" x14ac:dyDescent="0.25">
      <c r="A28" s="114" t="s">
        <v>9</v>
      </c>
      <c r="B28" s="127">
        <v>191.703</v>
      </c>
      <c r="C28" s="128">
        <f t="shared" si="0"/>
        <v>63.296999999999997</v>
      </c>
      <c r="D28" s="127">
        <v>252.999</v>
      </c>
      <c r="E28" s="128">
        <f t="shared" si="1"/>
        <v>2.0010000000000048</v>
      </c>
      <c r="F28" s="16"/>
      <c r="G28" s="128">
        <f t="shared" si="2"/>
        <v>61.295999999999992</v>
      </c>
      <c r="H28" s="16"/>
      <c r="I28" s="16" t="s">
        <v>9</v>
      </c>
      <c r="J28" s="127">
        <v>204.43</v>
      </c>
      <c r="K28" s="128">
        <f t="shared" si="3"/>
        <v>50.569999999999993</v>
      </c>
      <c r="L28" s="127">
        <v>246.91499999999999</v>
      </c>
      <c r="M28" s="128">
        <f t="shared" si="4"/>
        <v>8.085000000000008</v>
      </c>
      <c r="N28" s="16"/>
      <c r="O28" s="128">
        <f t="shared" si="5"/>
        <v>42.484999999999985</v>
      </c>
      <c r="P28" s="16"/>
      <c r="Q28" s="129">
        <f t="shared" si="6"/>
        <v>1.4427680357773336</v>
      </c>
      <c r="R28" s="130"/>
      <c r="S28" s="126">
        <f t="shared" si="7"/>
        <v>1.0120932903422077</v>
      </c>
      <c r="T28" s="83"/>
    </row>
    <row r="29" spans="1:20" ht="15.75" thickBot="1" x14ac:dyDescent="0.3">
      <c r="A29" s="117" t="s">
        <v>62</v>
      </c>
      <c r="B29" s="118">
        <v>188.52500000000001</v>
      </c>
      <c r="C29" s="119">
        <f t="shared" si="0"/>
        <v>66.474999999999994</v>
      </c>
      <c r="D29" s="118">
        <v>252.982</v>
      </c>
      <c r="E29" s="119">
        <f t="shared" si="1"/>
        <v>2.0180000000000007</v>
      </c>
      <c r="F29" s="120"/>
      <c r="G29" s="119">
        <f t="shared" si="2"/>
        <v>64.456999999999994</v>
      </c>
      <c r="H29" s="120"/>
      <c r="I29" s="120" t="s">
        <v>62</v>
      </c>
      <c r="J29" s="118">
        <v>198.34399999999999</v>
      </c>
      <c r="K29" s="119">
        <f t="shared" si="3"/>
        <v>56.656000000000006</v>
      </c>
      <c r="L29" s="118">
        <v>246.97499999999999</v>
      </c>
      <c r="M29" s="119">
        <f t="shared" si="4"/>
        <v>8.0250000000000057</v>
      </c>
      <c r="N29" s="120"/>
      <c r="O29" s="119">
        <f t="shared" si="5"/>
        <v>48.631</v>
      </c>
      <c r="P29" s="120"/>
      <c r="Q29" s="121">
        <f t="shared" si="6"/>
        <v>1.3254302810964198</v>
      </c>
      <c r="R29" s="122"/>
      <c r="S29" s="133">
        <f t="shared" si="7"/>
        <v>0.92978154564626347</v>
      </c>
      <c r="T29" s="125"/>
    </row>
    <row r="30" spans="1:20" x14ac:dyDescent="0.25">
      <c r="A30" s="108" t="s">
        <v>16</v>
      </c>
      <c r="B30" s="109">
        <v>212.036</v>
      </c>
      <c r="C30" s="110">
        <f t="shared" si="0"/>
        <v>42.963999999999999</v>
      </c>
      <c r="D30" s="109">
        <v>252.94800000000001</v>
      </c>
      <c r="E30" s="110">
        <f t="shared" si="1"/>
        <v>2.0519999999999925</v>
      </c>
      <c r="F30" s="111"/>
      <c r="G30" s="110">
        <f t="shared" si="2"/>
        <v>40.912000000000006</v>
      </c>
      <c r="H30" s="111"/>
      <c r="I30" s="111" t="s">
        <v>16</v>
      </c>
      <c r="J30" s="109">
        <v>187.267</v>
      </c>
      <c r="K30" s="110">
        <f t="shared" si="3"/>
        <v>67.733000000000004</v>
      </c>
      <c r="L30" s="109">
        <v>246.458</v>
      </c>
      <c r="M30" s="110">
        <f t="shared" si="4"/>
        <v>8.5420000000000016</v>
      </c>
      <c r="N30" s="111"/>
      <c r="O30" s="110">
        <f t="shared" si="5"/>
        <v>59.191000000000003</v>
      </c>
      <c r="P30" s="111"/>
      <c r="Q30" s="112">
        <f t="shared" si="6"/>
        <v>0.69118616005811706</v>
      </c>
      <c r="R30" s="113"/>
      <c r="S30" s="132">
        <f t="shared" si="7"/>
        <v>0.4848630255350197</v>
      </c>
      <c r="T30" s="124">
        <f>AVERAGE(S30:S33)</f>
        <v>0.44640526751435139</v>
      </c>
    </row>
    <row r="31" spans="1:20" x14ac:dyDescent="0.25">
      <c r="A31" s="114" t="s">
        <v>17</v>
      </c>
      <c r="B31" s="127">
        <v>204.98</v>
      </c>
      <c r="C31" s="128">
        <f t="shared" si="0"/>
        <v>50.02000000000001</v>
      </c>
      <c r="D31" s="127">
        <v>253.04</v>
      </c>
      <c r="E31" s="128">
        <f t="shared" si="1"/>
        <v>1.960000000000008</v>
      </c>
      <c r="F31" s="16"/>
      <c r="G31" s="128">
        <f t="shared" si="2"/>
        <v>48.06</v>
      </c>
      <c r="H31" s="16"/>
      <c r="I31" s="16" t="s">
        <v>17</v>
      </c>
      <c r="J31" s="127">
        <v>175.066</v>
      </c>
      <c r="K31" s="128">
        <f t="shared" si="3"/>
        <v>79.933999999999997</v>
      </c>
      <c r="L31" s="127">
        <v>246.73400000000001</v>
      </c>
      <c r="M31" s="128">
        <f t="shared" si="4"/>
        <v>8.2659999999999911</v>
      </c>
      <c r="N31" s="16"/>
      <c r="O31" s="128">
        <f t="shared" si="5"/>
        <v>71.668000000000006</v>
      </c>
      <c r="P31" s="16"/>
      <c r="Q31" s="129">
        <f t="shared" si="6"/>
        <v>0.6705921750293018</v>
      </c>
      <c r="R31" s="130"/>
      <c r="S31" s="126">
        <f t="shared" si="7"/>
        <v>0.4704164661767497</v>
      </c>
      <c r="T31" s="83"/>
    </row>
    <row r="32" spans="1:20" x14ac:dyDescent="0.25">
      <c r="A32" s="114" t="s">
        <v>18</v>
      </c>
      <c r="B32" s="127">
        <v>195.76599999999999</v>
      </c>
      <c r="C32" s="128">
        <f t="shared" si="0"/>
        <v>59.234000000000009</v>
      </c>
      <c r="D32" s="127">
        <v>253.005</v>
      </c>
      <c r="E32" s="128">
        <f t="shared" si="1"/>
        <v>1.9950000000000045</v>
      </c>
      <c r="F32" s="16"/>
      <c r="G32" s="128">
        <f t="shared" si="2"/>
        <v>57.239000000000004</v>
      </c>
      <c r="H32" s="16"/>
      <c r="I32" s="16" t="s">
        <v>18</v>
      </c>
      <c r="J32" s="127">
        <v>157.768</v>
      </c>
      <c r="K32" s="128">
        <f t="shared" si="3"/>
        <v>97.231999999999999</v>
      </c>
      <c r="L32" s="127">
        <v>246.92400000000001</v>
      </c>
      <c r="M32" s="128">
        <f t="shared" si="4"/>
        <v>8.0759999999999934</v>
      </c>
      <c r="N32" s="16"/>
      <c r="O32" s="128">
        <f t="shared" si="5"/>
        <v>89.156000000000006</v>
      </c>
      <c r="P32" s="16"/>
      <c r="Q32" s="129">
        <f t="shared" si="6"/>
        <v>0.64200951141818829</v>
      </c>
      <c r="R32" s="130"/>
      <c r="S32" s="126">
        <f t="shared" si="7"/>
        <v>0.45036589578458658</v>
      </c>
      <c r="T32" s="83"/>
    </row>
    <row r="33" spans="1:20" ht="15.75" thickBot="1" x14ac:dyDescent="0.3">
      <c r="A33" s="117" t="s">
        <v>19</v>
      </c>
      <c r="B33" s="118">
        <v>199.81899999999999</v>
      </c>
      <c r="C33" s="119">
        <f t="shared" si="0"/>
        <v>55.181000000000012</v>
      </c>
      <c r="D33" s="118">
        <v>252.97</v>
      </c>
      <c r="E33" s="119">
        <f t="shared" si="1"/>
        <v>2.0300000000000011</v>
      </c>
      <c r="F33" s="120"/>
      <c r="G33" s="119">
        <f t="shared" si="2"/>
        <v>53.15100000000001</v>
      </c>
      <c r="H33" s="120"/>
      <c r="I33" s="120" t="s">
        <v>19</v>
      </c>
      <c r="J33" s="118">
        <v>149.11799999999999</v>
      </c>
      <c r="K33" s="119">
        <f t="shared" si="3"/>
        <v>105.88200000000001</v>
      </c>
      <c r="L33" s="118">
        <v>247.24299999999999</v>
      </c>
      <c r="M33" s="119">
        <f t="shared" si="4"/>
        <v>7.757000000000005</v>
      </c>
      <c r="N33" s="120"/>
      <c r="O33" s="119">
        <f t="shared" si="5"/>
        <v>98.125</v>
      </c>
      <c r="P33" s="120"/>
      <c r="Q33" s="121">
        <f t="shared" si="6"/>
        <v>0.54166624203821667</v>
      </c>
      <c r="R33" s="122"/>
      <c r="S33" s="133">
        <f t="shared" si="7"/>
        <v>0.37997568256104974</v>
      </c>
      <c r="T33" s="125"/>
    </row>
    <row r="34" spans="1:20" x14ac:dyDescent="0.25">
      <c r="A34" s="108" t="s">
        <v>21</v>
      </c>
      <c r="B34" s="109">
        <v>206.565</v>
      </c>
      <c r="C34" s="110">
        <f t="shared" si="0"/>
        <v>48.435000000000002</v>
      </c>
      <c r="D34" s="109">
        <v>252.99799999999999</v>
      </c>
      <c r="E34" s="110">
        <f t="shared" si="1"/>
        <v>2.0020000000000095</v>
      </c>
      <c r="F34" s="111"/>
      <c r="G34" s="110">
        <f t="shared" si="2"/>
        <v>46.432999999999993</v>
      </c>
      <c r="H34" s="111"/>
      <c r="I34" s="111" t="s">
        <v>21</v>
      </c>
      <c r="J34" s="109">
        <v>149.85300000000001</v>
      </c>
      <c r="K34" s="110">
        <f t="shared" si="3"/>
        <v>105.14699999999999</v>
      </c>
      <c r="L34" s="109">
        <v>246.69399999999999</v>
      </c>
      <c r="M34" s="110">
        <f t="shared" si="4"/>
        <v>8.3060000000000116</v>
      </c>
      <c r="N34" s="111"/>
      <c r="O34" s="110">
        <f t="shared" si="5"/>
        <v>96.84099999999998</v>
      </c>
      <c r="P34" s="111"/>
      <c r="Q34" s="112">
        <f t="shared" si="6"/>
        <v>0.47947666794023197</v>
      </c>
      <c r="R34" s="113"/>
      <c r="S34" s="132">
        <f t="shared" si="7"/>
        <v>0.33635006214737168</v>
      </c>
      <c r="T34" s="124">
        <f>AVERAGE(S34:S38)</f>
        <v>0.34111474484533388</v>
      </c>
    </row>
    <row r="35" spans="1:20" x14ac:dyDescent="0.25">
      <c r="A35" s="114" t="s">
        <v>22</v>
      </c>
      <c r="B35" s="127">
        <v>208.37100000000001</v>
      </c>
      <c r="C35" s="128">
        <f t="shared" si="0"/>
        <v>46.628999999999991</v>
      </c>
      <c r="D35" s="127">
        <v>253.006</v>
      </c>
      <c r="E35" s="128">
        <f t="shared" si="1"/>
        <v>1.9939999999999998</v>
      </c>
      <c r="F35" s="16"/>
      <c r="G35" s="128">
        <f t="shared" si="2"/>
        <v>44.634999999999991</v>
      </c>
      <c r="H35" s="16"/>
      <c r="I35" s="16" t="s">
        <v>22</v>
      </c>
      <c r="J35" s="127">
        <v>149.61099999999999</v>
      </c>
      <c r="K35" s="128">
        <f t="shared" si="3"/>
        <v>105.38900000000001</v>
      </c>
      <c r="L35" s="127">
        <v>246.17099999999999</v>
      </c>
      <c r="M35" s="128">
        <f t="shared" si="4"/>
        <v>8.8290000000000077</v>
      </c>
      <c r="N35" s="16"/>
      <c r="O35" s="128">
        <f t="shared" si="5"/>
        <v>96.56</v>
      </c>
      <c r="P35" s="16"/>
      <c r="Q35" s="129">
        <f t="shared" si="6"/>
        <v>0.46225144987572481</v>
      </c>
      <c r="R35" s="130"/>
      <c r="S35" s="126">
        <f t="shared" si="7"/>
        <v>0.32426667299855655</v>
      </c>
      <c r="T35" s="83"/>
    </row>
    <row r="36" spans="1:20" x14ac:dyDescent="0.25">
      <c r="A36" s="114" t="s">
        <v>23</v>
      </c>
      <c r="B36" s="127">
        <v>214.589</v>
      </c>
      <c r="C36" s="128">
        <f t="shared" si="0"/>
        <v>40.411000000000001</v>
      </c>
      <c r="D36" s="127">
        <v>253.12</v>
      </c>
      <c r="E36" s="128">
        <f t="shared" si="1"/>
        <v>1.8799999999999955</v>
      </c>
      <c r="F36" s="16"/>
      <c r="G36" s="128">
        <f t="shared" si="2"/>
        <v>38.531000000000006</v>
      </c>
      <c r="H36" s="16"/>
      <c r="I36" s="16" t="s">
        <v>23</v>
      </c>
      <c r="J36" s="127">
        <v>147.13499999999999</v>
      </c>
      <c r="K36" s="128">
        <f t="shared" si="3"/>
        <v>107.86500000000001</v>
      </c>
      <c r="L36" s="127">
        <v>246.73699999999999</v>
      </c>
      <c r="M36" s="128">
        <f t="shared" si="4"/>
        <v>8.2630000000000052</v>
      </c>
      <c r="N36" s="16"/>
      <c r="O36" s="128">
        <f t="shared" si="5"/>
        <v>99.602000000000004</v>
      </c>
      <c r="P36" s="16"/>
      <c r="Q36" s="129">
        <f t="shared" si="6"/>
        <v>0.38684966165338047</v>
      </c>
      <c r="R36" s="130"/>
      <c r="S36" s="126">
        <f t="shared" si="7"/>
        <v>0.27137276209449179</v>
      </c>
      <c r="T36" s="83"/>
    </row>
    <row r="37" spans="1:20" x14ac:dyDescent="0.25">
      <c r="A37" s="114" t="s">
        <v>24</v>
      </c>
      <c r="B37" s="127">
        <v>208.90299999999999</v>
      </c>
      <c r="C37" s="128">
        <f t="shared" si="0"/>
        <v>46.097000000000008</v>
      </c>
      <c r="D37" s="127">
        <v>253.047</v>
      </c>
      <c r="E37" s="128">
        <f t="shared" si="1"/>
        <v>1.953000000000003</v>
      </c>
      <c r="F37" s="16"/>
      <c r="G37" s="128">
        <f t="shared" si="2"/>
        <v>44.144000000000005</v>
      </c>
      <c r="H37" s="16"/>
      <c r="I37" s="16" t="s">
        <v>24</v>
      </c>
      <c r="J37" s="127">
        <v>167.31100000000001</v>
      </c>
      <c r="K37" s="128">
        <f t="shared" si="3"/>
        <v>87.688999999999993</v>
      </c>
      <c r="L37" s="127">
        <v>247.005</v>
      </c>
      <c r="M37" s="128">
        <f t="shared" si="4"/>
        <v>7.9950000000000045</v>
      </c>
      <c r="N37" s="16"/>
      <c r="O37" s="128">
        <f t="shared" si="5"/>
        <v>79.693999999999988</v>
      </c>
      <c r="P37" s="16"/>
      <c r="Q37" s="129">
        <f t="shared" si="6"/>
        <v>0.55391873917735357</v>
      </c>
      <c r="R37" s="130"/>
      <c r="S37" s="126">
        <f t="shared" si="7"/>
        <v>0.38857073723162006</v>
      </c>
      <c r="T37" s="83"/>
    </row>
    <row r="38" spans="1:20" ht="15.75" thickBot="1" x14ac:dyDescent="0.3">
      <c r="A38" s="117" t="s">
        <v>25</v>
      </c>
      <c r="B38" s="118">
        <v>209.655</v>
      </c>
      <c r="C38" s="119">
        <f t="shared" si="0"/>
        <v>45.344999999999999</v>
      </c>
      <c r="D38" s="118">
        <v>253.12100000000001</v>
      </c>
      <c r="E38" s="119">
        <f t="shared" si="1"/>
        <v>1.8789999999999907</v>
      </c>
      <c r="F38" s="120"/>
      <c r="G38" s="119">
        <f>C38-E38</f>
        <v>43.466000000000008</v>
      </c>
      <c r="H38" s="120"/>
      <c r="I38" s="120" t="s">
        <v>25</v>
      </c>
      <c r="J38" s="118">
        <v>168.02500000000001</v>
      </c>
      <c r="K38" s="119">
        <f t="shared" si="3"/>
        <v>86.974999999999994</v>
      </c>
      <c r="L38" s="118">
        <v>247.22</v>
      </c>
      <c r="M38" s="119">
        <f t="shared" si="4"/>
        <v>7.7800000000000011</v>
      </c>
      <c r="N38" s="120"/>
      <c r="O38" s="119">
        <f t="shared" si="5"/>
        <v>79.194999999999993</v>
      </c>
      <c r="P38" s="120"/>
      <c r="Q38" s="121">
        <f t="shared" si="6"/>
        <v>0.54884778079424223</v>
      </c>
      <c r="R38" s="122"/>
      <c r="S38" s="133">
        <f t="shared" si="7"/>
        <v>0.38501348975462951</v>
      </c>
      <c r="T38" s="125"/>
    </row>
    <row r="39" spans="1:20" x14ac:dyDescent="0.25">
      <c r="C39" s="115"/>
      <c r="E39" s="115"/>
      <c r="G39" s="115"/>
      <c r="K39" s="115"/>
      <c r="M39" s="115"/>
      <c r="O39" s="115"/>
      <c r="Q39" s="116"/>
      <c r="R39" s="116"/>
      <c r="S39" s="116"/>
    </row>
    <row r="40" spans="1:20" x14ac:dyDescent="0.25">
      <c r="A40" t="s">
        <v>96</v>
      </c>
      <c r="C40" s="115"/>
      <c r="E40" s="115"/>
      <c r="G40" s="115"/>
      <c r="K40" s="115"/>
      <c r="M40" s="115"/>
      <c r="O40" s="115"/>
      <c r="Q40" s="116"/>
      <c r="R40" s="116"/>
      <c r="S40" s="116"/>
    </row>
    <row r="41" spans="1:20" x14ac:dyDescent="0.25">
      <c r="A41" s="1" t="s">
        <v>85</v>
      </c>
      <c r="C41" s="115"/>
      <c r="E41" s="115"/>
      <c r="G41" s="115"/>
      <c r="I41" s="1" t="s">
        <v>86</v>
      </c>
      <c r="K41" s="115"/>
      <c r="M41" s="115"/>
      <c r="O41" s="115"/>
      <c r="Q41" s="116"/>
      <c r="R41" s="116"/>
      <c r="S41" s="116"/>
    </row>
    <row r="42" spans="1:20" ht="15.75" thickBot="1" x14ac:dyDescent="0.3">
      <c r="B42" t="s">
        <v>87</v>
      </c>
      <c r="C42" s="115" t="s">
        <v>88</v>
      </c>
      <c r="D42" t="s">
        <v>89</v>
      </c>
      <c r="E42" s="115" t="s">
        <v>90</v>
      </c>
      <c r="G42" s="115" t="s">
        <v>91</v>
      </c>
      <c r="J42" t="s">
        <v>87</v>
      </c>
      <c r="K42" s="115" t="s">
        <v>88</v>
      </c>
      <c r="L42" t="s">
        <v>89</v>
      </c>
      <c r="M42" s="115" t="s">
        <v>90</v>
      </c>
      <c r="O42" s="115" t="s">
        <v>91</v>
      </c>
      <c r="Q42" s="116" t="s">
        <v>92</v>
      </c>
      <c r="R42" t="s">
        <v>93</v>
      </c>
      <c r="S42" t="s">
        <v>97</v>
      </c>
    </row>
    <row r="43" spans="1:20" x14ac:dyDescent="0.25">
      <c r="A43" s="108" t="s">
        <v>7</v>
      </c>
      <c r="B43" s="109">
        <v>206.583</v>
      </c>
      <c r="C43" s="110">
        <f t="shared" si="0"/>
        <v>48.417000000000002</v>
      </c>
      <c r="D43" s="109">
        <v>252.90100000000001</v>
      </c>
      <c r="E43" s="110">
        <f t="shared" si="1"/>
        <v>2.0989999999999895</v>
      </c>
      <c r="F43" s="111"/>
      <c r="G43" s="110">
        <f t="shared" ref="G43:G51" si="8">C43-E43</f>
        <v>46.318000000000012</v>
      </c>
      <c r="H43" s="111"/>
      <c r="I43" s="111" t="s">
        <v>7</v>
      </c>
      <c r="J43" s="109">
        <v>113.627</v>
      </c>
      <c r="K43" s="110">
        <f t="shared" si="3"/>
        <v>141.37299999999999</v>
      </c>
      <c r="L43" s="109">
        <v>233.941</v>
      </c>
      <c r="M43" s="110">
        <f t="shared" si="4"/>
        <v>21.058999999999997</v>
      </c>
      <c r="N43" s="111"/>
      <c r="O43" s="110">
        <f t="shared" si="5"/>
        <v>120.31399999999999</v>
      </c>
      <c r="P43" s="111"/>
      <c r="Q43" s="112">
        <f t="shared" si="6"/>
        <v>0.38497597952025547</v>
      </c>
      <c r="R43" s="113">
        <f>AVERAGE(Q43:Q46)</f>
        <v>0.45823068216660884</v>
      </c>
      <c r="S43" s="132">
        <f>AVERAGE(Q43/$R$43)</f>
        <v>0.8401357536776235</v>
      </c>
      <c r="T43" s="124">
        <f>AVERAGE(S43:S46)</f>
        <v>1</v>
      </c>
    </row>
    <row r="44" spans="1:20" x14ac:dyDescent="0.25">
      <c r="A44" s="114" t="s">
        <v>8</v>
      </c>
      <c r="B44" s="127">
        <v>201.99</v>
      </c>
      <c r="C44" s="128">
        <f t="shared" si="0"/>
        <v>53.009999999999991</v>
      </c>
      <c r="D44" s="127">
        <v>252.96299999999999</v>
      </c>
      <c r="E44" s="128">
        <f t="shared" si="1"/>
        <v>2.0370000000000061</v>
      </c>
      <c r="F44" s="16"/>
      <c r="G44" s="128">
        <f t="shared" si="8"/>
        <v>50.972999999999985</v>
      </c>
      <c r="H44" s="16"/>
      <c r="I44" s="16" t="s">
        <v>8</v>
      </c>
      <c r="J44" s="127">
        <v>128.47200000000001</v>
      </c>
      <c r="K44" s="128">
        <f t="shared" si="3"/>
        <v>126.52799999999999</v>
      </c>
      <c r="L44" s="127">
        <v>236.10499999999999</v>
      </c>
      <c r="M44" s="128">
        <f t="shared" si="4"/>
        <v>18.89500000000001</v>
      </c>
      <c r="N44" s="16"/>
      <c r="O44" s="128">
        <f t="shared" si="5"/>
        <v>107.63299999999998</v>
      </c>
      <c r="P44" s="16"/>
      <c r="Q44" s="129">
        <f t="shared" si="6"/>
        <v>0.47358152239554779</v>
      </c>
      <c r="R44" s="130"/>
      <c r="S44" s="126">
        <f t="shared" ref="S44:S51" si="9">AVERAGE(Q44/$R$43)</f>
        <v>1.0335002452397055</v>
      </c>
      <c r="T44" s="131"/>
    </row>
    <row r="45" spans="1:20" x14ac:dyDescent="0.25">
      <c r="A45" s="114" t="s">
        <v>9</v>
      </c>
      <c r="B45" s="127">
        <v>201.30799999999999</v>
      </c>
      <c r="C45" s="128">
        <f t="shared" si="0"/>
        <v>53.692000000000007</v>
      </c>
      <c r="D45" s="127">
        <v>252.971</v>
      </c>
      <c r="E45" s="128">
        <f t="shared" si="1"/>
        <v>2.0289999999999964</v>
      </c>
      <c r="F45" s="16"/>
      <c r="G45" s="128">
        <f t="shared" si="8"/>
        <v>51.663000000000011</v>
      </c>
      <c r="H45" s="16"/>
      <c r="I45" s="16" t="s">
        <v>9</v>
      </c>
      <c r="J45" s="127">
        <v>139.74</v>
      </c>
      <c r="K45" s="128">
        <f t="shared" si="3"/>
        <v>115.25999999999999</v>
      </c>
      <c r="L45" s="127">
        <v>236.042</v>
      </c>
      <c r="M45" s="128">
        <f t="shared" si="4"/>
        <v>18.957999999999998</v>
      </c>
      <c r="N45" s="16"/>
      <c r="O45" s="128">
        <f t="shared" si="5"/>
        <v>96.301999999999992</v>
      </c>
      <c r="P45" s="16"/>
      <c r="Q45" s="129">
        <f t="shared" si="6"/>
        <v>0.53646860916699568</v>
      </c>
      <c r="R45" s="130"/>
      <c r="S45" s="126">
        <f t="shared" si="9"/>
        <v>1.1707391714375428</v>
      </c>
      <c r="T45" s="83"/>
    </row>
    <row r="46" spans="1:20" ht="15.75" thickBot="1" x14ac:dyDescent="0.3">
      <c r="A46" s="117" t="s">
        <v>62</v>
      </c>
      <c r="B46" s="118">
        <v>210.25899999999999</v>
      </c>
      <c r="C46" s="119">
        <f t="shared" si="0"/>
        <v>44.741000000000014</v>
      </c>
      <c r="D46" s="118">
        <v>252.904</v>
      </c>
      <c r="E46" s="119">
        <f t="shared" si="1"/>
        <v>2.0960000000000036</v>
      </c>
      <c r="F46" s="120"/>
      <c r="G46" s="119">
        <f t="shared" si="8"/>
        <v>42.64500000000001</v>
      </c>
      <c r="H46" s="120"/>
      <c r="I46" s="120" t="s">
        <v>62</v>
      </c>
      <c r="J46" s="118">
        <v>138.73699999999999</v>
      </c>
      <c r="K46" s="119">
        <f t="shared" si="3"/>
        <v>116.26300000000001</v>
      </c>
      <c r="L46" s="118">
        <v>236.12299999999999</v>
      </c>
      <c r="M46" s="119">
        <f t="shared" si="4"/>
        <v>18.87700000000001</v>
      </c>
      <c r="N46" s="120"/>
      <c r="O46" s="119">
        <f t="shared" si="5"/>
        <v>97.385999999999996</v>
      </c>
      <c r="P46" s="120"/>
      <c r="Q46" s="121">
        <f t="shared" si="6"/>
        <v>0.43789661758363635</v>
      </c>
      <c r="R46" s="122"/>
      <c r="S46" s="133">
        <f t="shared" si="9"/>
        <v>0.95562482964512796</v>
      </c>
      <c r="T46" s="125"/>
    </row>
    <row r="47" spans="1:20" x14ac:dyDescent="0.25">
      <c r="A47" s="108" t="s">
        <v>11</v>
      </c>
      <c r="B47" s="109">
        <v>209.892</v>
      </c>
      <c r="C47" s="110">
        <f t="shared" si="0"/>
        <v>45.108000000000004</v>
      </c>
      <c r="D47" s="109">
        <v>252.99299999999999</v>
      </c>
      <c r="E47" s="110">
        <f t="shared" si="1"/>
        <v>2.007000000000005</v>
      </c>
      <c r="F47" s="111"/>
      <c r="G47" s="110">
        <f t="shared" si="8"/>
        <v>43.100999999999999</v>
      </c>
      <c r="H47" s="111"/>
      <c r="I47" s="111" t="s">
        <v>11</v>
      </c>
      <c r="J47" s="109">
        <v>141.07900000000001</v>
      </c>
      <c r="K47" s="110">
        <f t="shared" si="3"/>
        <v>113.92099999999999</v>
      </c>
      <c r="L47" s="109">
        <v>236.70599999999999</v>
      </c>
      <c r="M47" s="110">
        <f t="shared" si="4"/>
        <v>18.294000000000011</v>
      </c>
      <c r="N47" s="111"/>
      <c r="O47" s="110">
        <f t="shared" si="5"/>
        <v>95.626999999999981</v>
      </c>
      <c r="P47" s="111"/>
      <c r="Q47" s="112">
        <f t="shared" si="6"/>
        <v>0.45071998494149151</v>
      </c>
      <c r="R47" s="113"/>
      <c r="S47" s="132">
        <f t="shared" si="9"/>
        <v>0.98360935328554344</v>
      </c>
      <c r="T47" s="124">
        <f>AVERAGE(S47:S51)</f>
        <v>1.0246580234617053</v>
      </c>
    </row>
    <row r="48" spans="1:20" x14ac:dyDescent="0.25">
      <c r="A48" s="114" t="s">
        <v>12</v>
      </c>
      <c r="B48" s="127">
        <v>204.67400000000001</v>
      </c>
      <c r="C48" s="128">
        <f t="shared" si="0"/>
        <v>50.325999999999993</v>
      </c>
      <c r="D48" s="134">
        <v>253</v>
      </c>
      <c r="E48" s="128">
        <f t="shared" si="1"/>
        <v>2</v>
      </c>
      <c r="F48" s="16"/>
      <c r="G48" s="128">
        <f t="shared" si="8"/>
        <v>48.325999999999993</v>
      </c>
      <c r="H48" s="16"/>
      <c r="I48" s="16" t="s">
        <v>12</v>
      </c>
      <c r="J48" s="127">
        <v>136.06100000000001</v>
      </c>
      <c r="K48" s="128">
        <f t="shared" si="3"/>
        <v>118.93899999999999</v>
      </c>
      <c r="L48" s="127">
        <v>236.16300000000001</v>
      </c>
      <c r="M48" s="128">
        <f t="shared" si="4"/>
        <v>18.836999999999989</v>
      </c>
      <c r="N48" s="16"/>
      <c r="O48" s="128">
        <f t="shared" si="5"/>
        <v>100.102</v>
      </c>
      <c r="P48" s="16"/>
      <c r="Q48" s="129">
        <f t="shared" si="6"/>
        <v>0.48276757707138712</v>
      </c>
      <c r="R48" s="130"/>
      <c r="S48" s="126">
        <f t="shared" si="9"/>
        <v>1.053547036153849</v>
      </c>
      <c r="T48" s="83"/>
    </row>
    <row r="49" spans="1:20" x14ac:dyDescent="0.25">
      <c r="A49" s="114" t="s">
        <v>13</v>
      </c>
      <c r="B49" s="127">
        <v>202.09100000000001</v>
      </c>
      <c r="C49" s="128">
        <f t="shared" si="0"/>
        <v>52.908999999999992</v>
      </c>
      <c r="D49" s="134">
        <v>253</v>
      </c>
      <c r="E49" s="128">
        <f t="shared" si="1"/>
        <v>2</v>
      </c>
      <c r="F49" s="16"/>
      <c r="G49" s="128">
        <f t="shared" si="8"/>
        <v>50.908999999999992</v>
      </c>
      <c r="H49" s="16"/>
      <c r="I49" s="16" t="s">
        <v>13</v>
      </c>
      <c r="J49" s="127">
        <v>136.351</v>
      </c>
      <c r="K49" s="128">
        <f t="shared" si="3"/>
        <v>118.649</v>
      </c>
      <c r="L49" s="127">
        <v>236.643</v>
      </c>
      <c r="M49" s="128">
        <f t="shared" si="4"/>
        <v>18.356999999999999</v>
      </c>
      <c r="N49" s="16"/>
      <c r="O49" s="128">
        <f t="shared" si="5"/>
        <v>100.292</v>
      </c>
      <c r="P49" s="16"/>
      <c r="Q49" s="129">
        <f t="shared" si="6"/>
        <v>0.50760778526702022</v>
      </c>
      <c r="R49" s="130"/>
      <c r="S49" s="126">
        <f t="shared" si="9"/>
        <v>1.1077559950087721</v>
      </c>
      <c r="T49" s="83"/>
    </row>
    <row r="50" spans="1:20" x14ac:dyDescent="0.25">
      <c r="A50" s="114" t="s">
        <v>14</v>
      </c>
      <c r="B50" s="127">
        <v>202.89500000000001</v>
      </c>
      <c r="C50" s="128">
        <f t="shared" si="0"/>
        <v>52.10499999999999</v>
      </c>
      <c r="D50" s="127">
        <v>252.98699999999999</v>
      </c>
      <c r="E50" s="128">
        <f t="shared" si="1"/>
        <v>2.0130000000000052</v>
      </c>
      <c r="F50" s="16"/>
      <c r="G50" s="128">
        <f t="shared" si="8"/>
        <v>50.091999999999985</v>
      </c>
      <c r="H50" s="16"/>
      <c r="I50" s="16" t="s">
        <v>14</v>
      </c>
      <c r="J50" s="127">
        <v>121.081</v>
      </c>
      <c r="K50" s="128">
        <f t="shared" si="3"/>
        <v>133.91899999999998</v>
      </c>
      <c r="L50" s="127">
        <v>235.256</v>
      </c>
      <c r="M50" s="128">
        <f t="shared" si="4"/>
        <v>19.744</v>
      </c>
      <c r="N50" s="16"/>
      <c r="O50" s="128">
        <f t="shared" si="5"/>
        <v>114.17499999999998</v>
      </c>
      <c r="P50" s="16"/>
      <c r="Q50" s="129">
        <f t="shared" si="6"/>
        <v>0.4387300197065907</v>
      </c>
      <c r="R50" s="130"/>
      <c r="S50" s="126">
        <f t="shared" si="9"/>
        <v>0.95744356888583937</v>
      </c>
      <c r="T50" s="83"/>
    </row>
    <row r="51" spans="1:20" ht="15.75" thickBot="1" x14ac:dyDescent="0.3">
      <c r="A51" s="117" t="s">
        <v>15</v>
      </c>
      <c r="B51" s="118">
        <v>202.309</v>
      </c>
      <c r="C51" s="119">
        <f t="shared" si="0"/>
        <v>52.691000000000003</v>
      </c>
      <c r="D51" s="123">
        <v>253</v>
      </c>
      <c r="E51" s="119">
        <f t="shared" si="1"/>
        <v>2</v>
      </c>
      <c r="F51" s="120"/>
      <c r="G51" s="119">
        <f t="shared" si="8"/>
        <v>50.691000000000003</v>
      </c>
      <c r="H51" s="120"/>
      <c r="I51" s="120" t="s">
        <v>15</v>
      </c>
      <c r="J51" s="118">
        <v>127.92100000000001</v>
      </c>
      <c r="K51" s="119">
        <f t="shared" si="3"/>
        <v>127.07899999999999</v>
      </c>
      <c r="L51" s="118">
        <v>236.27600000000001</v>
      </c>
      <c r="M51" s="119">
        <f t="shared" si="4"/>
        <v>18.72399999999999</v>
      </c>
      <c r="N51" s="120"/>
      <c r="O51" s="119">
        <f t="shared" si="5"/>
        <v>108.355</v>
      </c>
      <c r="P51" s="120"/>
      <c r="Q51" s="121">
        <f t="shared" si="6"/>
        <v>0.46782335840524203</v>
      </c>
      <c r="R51" s="122"/>
      <c r="S51" s="133">
        <f t="shared" si="9"/>
        <v>1.0209341639745226</v>
      </c>
      <c r="T51" s="125"/>
    </row>
  </sheetData>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5220C-6D51-4BAB-849A-A3F7201AF716}">
  <dimension ref="A1:AQ51"/>
  <sheetViews>
    <sheetView zoomScaleNormal="100" workbookViewId="0">
      <selection activeCell="J23" sqref="J23"/>
    </sheetView>
  </sheetViews>
  <sheetFormatPr baseColWidth="10" defaultRowHeight="15" x14ac:dyDescent="0.25"/>
  <cols>
    <col min="2" max="2" width="21.42578125" customWidth="1"/>
  </cols>
  <sheetData>
    <row r="1" spans="1:4" x14ac:dyDescent="0.25">
      <c r="A1" s="1" t="s">
        <v>1</v>
      </c>
      <c r="C1" s="106"/>
      <c r="D1" s="106"/>
    </row>
    <row r="3" spans="1:4" x14ac:dyDescent="0.25">
      <c r="A3" s="1" t="s">
        <v>2</v>
      </c>
    </row>
    <row r="4" spans="1:4" x14ac:dyDescent="0.25">
      <c r="A4" s="6" t="s">
        <v>116</v>
      </c>
    </row>
    <row r="5" spans="1:4" x14ac:dyDescent="0.25">
      <c r="A5" s="6" t="s">
        <v>117</v>
      </c>
    </row>
    <row r="6" spans="1:4" x14ac:dyDescent="0.25">
      <c r="A6" s="6" t="s">
        <v>118</v>
      </c>
    </row>
    <row r="7" spans="1:4" x14ac:dyDescent="0.25">
      <c r="A7" s="6" t="s">
        <v>119</v>
      </c>
    </row>
    <row r="8" spans="1:4" x14ac:dyDescent="0.25">
      <c r="A8" s="1"/>
    </row>
    <row r="9" spans="1:4" x14ac:dyDescent="0.25">
      <c r="A9" s="1"/>
    </row>
    <row r="10" spans="1:4" x14ac:dyDescent="0.25">
      <c r="A10" s="1"/>
    </row>
    <row r="11" spans="1:4" x14ac:dyDescent="0.25">
      <c r="A11" s="1"/>
    </row>
    <row r="12" spans="1:4" x14ac:dyDescent="0.25">
      <c r="A12" s="1"/>
    </row>
    <row r="13" spans="1:4" x14ac:dyDescent="0.25">
      <c r="A13" s="1"/>
    </row>
    <row r="14" spans="1:4" x14ac:dyDescent="0.25">
      <c r="A14" s="1"/>
    </row>
    <row r="15" spans="1:4" x14ac:dyDescent="0.25">
      <c r="A15" s="1"/>
    </row>
    <row r="16" spans="1:4" x14ac:dyDescent="0.25">
      <c r="A16" s="1"/>
    </row>
    <row r="17" spans="1:43" x14ac:dyDescent="0.25">
      <c r="A17" s="1"/>
    </row>
    <row r="18" spans="1:43" x14ac:dyDescent="0.25">
      <c r="A18" s="1" t="s">
        <v>3</v>
      </c>
    </row>
    <row r="19" spans="1:43" x14ac:dyDescent="0.25">
      <c r="A19" t="s">
        <v>33</v>
      </c>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row>
    <row r="20" spans="1:43" x14ac:dyDescent="0.25">
      <c r="A20" t="s">
        <v>30</v>
      </c>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row>
    <row r="21" spans="1:43" x14ac:dyDescent="0.25">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row>
    <row r="22" spans="1:43" x14ac:dyDescent="0.25">
      <c r="A22" t="s">
        <v>34</v>
      </c>
      <c r="G22" s="78"/>
      <c r="H22" s="78"/>
      <c r="I22" s="151"/>
      <c r="J22" s="151"/>
      <c r="K22" s="151"/>
      <c r="L22" s="151"/>
      <c r="M22" s="151"/>
      <c r="N22" s="151"/>
      <c r="O22" s="78"/>
      <c r="P22" s="78"/>
      <c r="Q22" s="78"/>
      <c r="R22" s="78"/>
      <c r="S22" s="151"/>
      <c r="T22" s="151"/>
      <c r="U22" s="151"/>
      <c r="V22" s="151"/>
      <c r="W22" s="151"/>
      <c r="X22" s="151"/>
      <c r="Y22" s="8"/>
      <c r="Z22" s="8"/>
      <c r="AA22" s="8"/>
      <c r="AB22" s="8"/>
      <c r="AC22" s="8"/>
      <c r="AD22" s="8"/>
      <c r="AE22" s="8"/>
      <c r="AF22" s="8"/>
      <c r="AG22" s="8"/>
      <c r="AH22" s="8"/>
      <c r="AI22" s="8"/>
      <c r="AJ22" s="8"/>
      <c r="AK22" s="8"/>
      <c r="AL22" s="8"/>
      <c r="AM22" s="8"/>
      <c r="AN22" s="8"/>
      <c r="AO22" s="8"/>
      <c r="AP22" s="8"/>
      <c r="AQ22" s="8"/>
    </row>
    <row r="23" spans="1:43" x14ac:dyDescent="0.25">
      <c r="A23" s="53" t="s">
        <v>28</v>
      </c>
      <c r="G23" s="8"/>
      <c r="H23" s="8"/>
      <c r="I23" s="17"/>
      <c r="J23" s="8"/>
      <c r="K23" s="8"/>
      <c r="L23" s="8"/>
      <c r="M23" s="17"/>
      <c r="N23" s="17"/>
      <c r="O23" s="8"/>
      <c r="P23" s="8"/>
      <c r="Q23" s="17"/>
      <c r="R23" s="17"/>
      <c r="S23" s="8"/>
      <c r="T23" s="8"/>
      <c r="U23" s="8"/>
      <c r="V23" s="8"/>
      <c r="W23" s="8"/>
      <c r="X23" s="8"/>
      <c r="Y23" s="8"/>
      <c r="Z23" s="8"/>
      <c r="AA23" s="8"/>
      <c r="AB23" s="8"/>
      <c r="AC23" s="8"/>
      <c r="AD23" s="8"/>
      <c r="AE23" s="8"/>
      <c r="AF23" s="8"/>
      <c r="AG23" s="8"/>
      <c r="AH23" s="8"/>
      <c r="AI23" s="8"/>
      <c r="AJ23" s="8"/>
      <c r="AK23" s="8"/>
      <c r="AL23" s="8"/>
      <c r="AM23" s="8"/>
      <c r="AN23" s="8"/>
      <c r="AO23" s="8"/>
      <c r="AP23" s="8"/>
      <c r="AQ23" s="8"/>
    </row>
    <row r="24" spans="1:43" x14ac:dyDescent="0.25">
      <c r="A24" s="53" t="s">
        <v>48</v>
      </c>
      <c r="G24" s="8"/>
      <c r="H24" s="8"/>
      <c r="I24" s="17"/>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row>
    <row r="25" spans="1:43" x14ac:dyDescent="0.25">
      <c r="A25" s="53" t="s">
        <v>49</v>
      </c>
      <c r="G25" s="8"/>
      <c r="H25" s="8"/>
      <c r="I25" s="17"/>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row>
    <row r="26" spans="1:43" x14ac:dyDescent="0.25">
      <c r="A26" s="53" t="s">
        <v>32</v>
      </c>
      <c r="G26" s="8"/>
      <c r="H26" s="8"/>
      <c r="I26" s="17"/>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row>
    <row r="27" spans="1:43" x14ac:dyDescent="0.25">
      <c r="A27" s="53"/>
      <c r="G27" s="8"/>
      <c r="H27" s="8"/>
      <c r="I27" s="17"/>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row>
    <row r="28" spans="1:43" x14ac:dyDescent="0.25">
      <c r="A28" s="53"/>
      <c r="G28" s="8"/>
      <c r="H28" s="8"/>
      <c r="I28" s="17"/>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row>
    <row r="29" spans="1:43" ht="15.75" thickBot="1" x14ac:dyDescent="0.3">
      <c r="A29" s="149" t="s">
        <v>6</v>
      </c>
      <c r="B29" s="1" t="s">
        <v>99</v>
      </c>
      <c r="C29" s="1" t="s">
        <v>100</v>
      </c>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row>
    <row r="30" spans="1:43" x14ac:dyDescent="0.25">
      <c r="A30" s="143" t="s">
        <v>7</v>
      </c>
      <c r="B30" s="137">
        <v>83.49</v>
      </c>
      <c r="C30" s="95">
        <f>AVERAGE(B30:B33)</f>
        <v>89.814999999999998</v>
      </c>
      <c r="G30" s="8"/>
      <c r="H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row>
    <row r="31" spans="1:43" x14ac:dyDescent="0.25">
      <c r="A31" s="144" t="s">
        <v>8</v>
      </c>
      <c r="B31" s="136">
        <v>90.87</v>
      </c>
      <c r="C31" s="97"/>
    </row>
    <row r="32" spans="1:43" x14ac:dyDescent="0.25">
      <c r="A32" s="144" t="s">
        <v>9</v>
      </c>
      <c r="B32" s="136">
        <v>93.71</v>
      </c>
      <c r="C32" s="97"/>
    </row>
    <row r="33" spans="1:9" ht="15.75" thickBot="1" x14ac:dyDescent="0.3">
      <c r="A33" s="145" t="s">
        <v>10</v>
      </c>
      <c r="B33" s="138">
        <v>91.19</v>
      </c>
      <c r="C33" s="139"/>
    </row>
    <row r="34" spans="1:9" ht="15.75" thickBot="1" x14ac:dyDescent="0.3">
      <c r="B34" s="17"/>
      <c r="I34" s="5"/>
    </row>
    <row r="35" spans="1:9" x14ac:dyDescent="0.25">
      <c r="A35" s="143" t="s">
        <v>11</v>
      </c>
      <c r="B35" s="137">
        <v>87.78</v>
      </c>
      <c r="C35" s="95">
        <f>AVERAGE(B35:B39)</f>
        <v>88.122</v>
      </c>
    </row>
    <row r="36" spans="1:9" x14ac:dyDescent="0.25">
      <c r="A36" s="144" t="s">
        <v>12</v>
      </c>
      <c r="B36" s="140">
        <v>89.66</v>
      </c>
      <c r="C36" s="97"/>
    </row>
    <row r="37" spans="1:9" x14ac:dyDescent="0.25">
      <c r="A37" s="144" t="s">
        <v>13</v>
      </c>
      <c r="B37" s="140">
        <v>82.65</v>
      </c>
      <c r="C37" s="97"/>
    </row>
    <row r="38" spans="1:9" x14ac:dyDescent="0.25">
      <c r="A38" s="144" t="s">
        <v>14</v>
      </c>
      <c r="B38" s="140">
        <v>88.56</v>
      </c>
      <c r="C38" s="97"/>
    </row>
    <row r="39" spans="1:9" ht="15.75" thickBot="1" x14ac:dyDescent="0.3">
      <c r="A39" s="145" t="s">
        <v>15</v>
      </c>
      <c r="B39" s="141">
        <v>91.96</v>
      </c>
      <c r="C39" s="139"/>
    </row>
    <row r="40" spans="1:9" ht="15.75" thickBot="1" x14ac:dyDescent="0.3">
      <c r="I40" s="5"/>
    </row>
    <row r="41" spans="1:9" x14ac:dyDescent="0.25">
      <c r="A41" s="143" t="s">
        <v>16</v>
      </c>
      <c r="B41" s="142">
        <v>54.82</v>
      </c>
      <c r="C41" s="95">
        <f>AVERAGE(B41:B44)</f>
        <v>69.762500000000003</v>
      </c>
    </row>
    <row r="42" spans="1:9" x14ac:dyDescent="0.25">
      <c r="A42" s="144" t="s">
        <v>17</v>
      </c>
      <c r="B42" s="140">
        <v>81.12</v>
      </c>
      <c r="C42" s="97"/>
    </row>
    <row r="43" spans="1:9" x14ac:dyDescent="0.25">
      <c r="A43" s="144" t="s">
        <v>18</v>
      </c>
      <c r="B43" s="140">
        <v>63.66</v>
      </c>
      <c r="C43" s="97"/>
    </row>
    <row r="44" spans="1:9" ht="15.75" thickBot="1" x14ac:dyDescent="0.3">
      <c r="A44" s="145" t="s">
        <v>19</v>
      </c>
      <c r="B44" s="141">
        <v>79.45</v>
      </c>
      <c r="C44" s="139"/>
    </row>
    <row r="45" spans="1:9" ht="15.75" thickBot="1" x14ac:dyDescent="0.3">
      <c r="I45" s="5"/>
    </row>
    <row r="46" spans="1:9" x14ac:dyDescent="0.25">
      <c r="A46" s="143" t="s">
        <v>20</v>
      </c>
      <c r="B46" s="142">
        <v>51.51</v>
      </c>
      <c r="C46" s="95">
        <f>AVERAGE(B46:B51)</f>
        <v>65.959999999999994</v>
      </c>
    </row>
    <row r="47" spans="1:9" x14ac:dyDescent="0.25">
      <c r="A47" s="144" t="s">
        <v>21</v>
      </c>
      <c r="B47" s="140">
        <v>64.209999999999994</v>
      </c>
      <c r="C47" s="97"/>
    </row>
    <row r="48" spans="1:9" x14ac:dyDescent="0.25">
      <c r="A48" s="144" t="s">
        <v>22</v>
      </c>
      <c r="B48" s="140">
        <v>59.81</v>
      </c>
      <c r="C48" s="97"/>
    </row>
    <row r="49" spans="1:3" x14ac:dyDescent="0.25">
      <c r="A49" s="144" t="s">
        <v>23</v>
      </c>
      <c r="B49" s="140">
        <v>74.489999999999995</v>
      </c>
      <c r="C49" s="97"/>
    </row>
    <row r="50" spans="1:3" x14ac:dyDescent="0.25">
      <c r="A50" s="144" t="s">
        <v>24</v>
      </c>
      <c r="B50" s="140">
        <v>85.54</v>
      </c>
      <c r="C50" s="97"/>
    </row>
    <row r="51" spans="1:3" ht="15.75" thickBot="1" x14ac:dyDescent="0.3">
      <c r="A51" s="145" t="s">
        <v>25</v>
      </c>
      <c r="B51" s="141">
        <v>60.2</v>
      </c>
      <c r="C51" s="139"/>
    </row>
  </sheetData>
  <mergeCells count="2">
    <mergeCell ref="I22:N22"/>
    <mergeCell ref="S22:X22"/>
  </mergeCells>
  <pageMargins left="0.7" right="0.7" top="0.78740157499999996" bottom="0.78740157499999996"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64512-5504-404F-88D8-396C23D78EB4}">
  <dimension ref="A1:I40"/>
  <sheetViews>
    <sheetView workbookViewId="0">
      <selection activeCell="E22" sqref="E22"/>
    </sheetView>
  </sheetViews>
  <sheetFormatPr baseColWidth="10" defaultRowHeight="15" x14ac:dyDescent="0.25"/>
  <cols>
    <col min="2" max="2" width="13.42578125" customWidth="1"/>
    <col min="3" max="3" width="17.7109375" customWidth="1"/>
    <col min="5" max="5" width="23.42578125" customWidth="1"/>
    <col min="6" max="6" width="23" customWidth="1"/>
    <col min="7" max="7" width="53.140625" customWidth="1"/>
  </cols>
  <sheetData>
    <row r="1" spans="1:1" x14ac:dyDescent="0.25">
      <c r="A1" s="1" t="s">
        <v>65</v>
      </c>
    </row>
    <row r="3" spans="1:1" x14ac:dyDescent="0.25">
      <c r="A3" s="1" t="s">
        <v>2</v>
      </c>
    </row>
    <row r="4" spans="1:1" x14ac:dyDescent="0.25">
      <c r="A4" s="6" t="s">
        <v>120</v>
      </c>
    </row>
    <row r="5" spans="1:1" x14ac:dyDescent="0.25">
      <c r="A5" s="6" t="s">
        <v>121</v>
      </c>
    </row>
    <row r="6" spans="1:1" ht="17.25" x14ac:dyDescent="0.25">
      <c r="A6" s="6" t="s">
        <v>122</v>
      </c>
    </row>
    <row r="7" spans="1:1" x14ac:dyDescent="0.25">
      <c r="A7" s="6" t="s">
        <v>123</v>
      </c>
    </row>
    <row r="8" spans="1:1" x14ac:dyDescent="0.25">
      <c r="A8" s="6"/>
    </row>
    <row r="9" spans="1:1" x14ac:dyDescent="0.25">
      <c r="A9" s="6" t="s">
        <v>66</v>
      </c>
    </row>
    <row r="10" spans="1:1" x14ac:dyDescent="0.25">
      <c r="A10" s="1"/>
    </row>
    <row r="11" spans="1:1" x14ac:dyDescent="0.25">
      <c r="A11" s="1" t="s">
        <v>3</v>
      </c>
    </row>
    <row r="12" spans="1:1" x14ac:dyDescent="0.25">
      <c r="A12" t="s">
        <v>81</v>
      </c>
    </row>
    <row r="13" spans="1:1" x14ac:dyDescent="0.25">
      <c r="A13" t="s">
        <v>30</v>
      </c>
    </row>
    <row r="15" spans="1:1" x14ac:dyDescent="0.25">
      <c r="A15" t="s">
        <v>34</v>
      </c>
    </row>
    <row r="16" spans="1:1" x14ac:dyDescent="0.25">
      <c r="A16" s="53" t="s">
        <v>28</v>
      </c>
    </row>
    <row r="17" spans="1:9" x14ac:dyDescent="0.25">
      <c r="A17" s="53" t="s">
        <v>48</v>
      </c>
    </row>
    <row r="18" spans="1:9" x14ac:dyDescent="0.25">
      <c r="A18" s="53" t="s">
        <v>49</v>
      </c>
    </row>
    <row r="19" spans="1:9" x14ac:dyDescent="0.25">
      <c r="A19" s="53" t="s">
        <v>32</v>
      </c>
    </row>
    <row r="20" spans="1:9" ht="19.5" thickBot="1" x14ac:dyDescent="0.3">
      <c r="A20" s="18"/>
      <c r="B20" s="18"/>
      <c r="C20" s="18"/>
      <c r="D20" s="18"/>
      <c r="E20" s="19" t="s">
        <v>52</v>
      </c>
      <c r="F20" s="19" t="s">
        <v>52</v>
      </c>
      <c r="G20" s="18"/>
      <c r="H20" s="18"/>
      <c r="I20" s="18"/>
    </row>
    <row r="21" spans="1:9" ht="18.75" thickBot="1" x14ac:dyDescent="0.3">
      <c r="A21" s="54"/>
      <c r="B21" s="54"/>
      <c r="C21" s="54"/>
      <c r="D21" s="54"/>
      <c r="E21" s="21" t="s">
        <v>52</v>
      </c>
      <c r="F21" s="21" t="s">
        <v>52</v>
      </c>
      <c r="G21" s="22" t="s">
        <v>53</v>
      </c>
      <c r="H21" s="23"/>
      <c r="I21" s="18"/>
    </row>
    <row r="22" spans="1:9" ht="15.75" thickBot="1" x14ac:dyDescent="0.3">
      <c r="A22" s="24" t="s">
        <v>54</v>
      </c>
      <c r="B22" s="24" t="s">
        <v>55</v>
      </c>
      <c r="C22" s="24" t="s">
        <v>56</v>
      </c>
      <c r="D22" s="24" t="s">
        <v>56</v>
      </c>
      <c r="E22" s="25" t="s">
        <v>57</v>
      </c>
      <c r="F22" s="26" t="s">
        <v>58</v>
      </c>
      <c r="G22" s="27"/>
      <c r="H22" s="26" t="s">
        <v>59</v>
      </c>
      <c r="I22" s="26" t="s">
        <v>60</v>
      </c>
    </row>
    <row r="23" spans="1:9" x14ac:dyDescent="0.25">
      <c r="A23" s="28">
        <v>110357</v>
      </c>
      <c r="B23" s="28">
        <v>29</v>
      </c>
      <c r="C23" s="29" t="s">
        <v>61</v>
      </c>
      <c r="D23" s="29" t="s">
        <v>7</v>
      </c>
      <c r="E23" s="30">
        <v>0.432</v>
      </c>
      <c r="F23" s="31">
        <v>0.32</v>
      </c>
      <c r="G23" s="32">
        <f>(F23/E23)*100</f>
        <v>74.074074074074076</v>
      </c>
      <c r="H23" s="33">
        <f>AVERAGE(G23:G26)</f>
        <v>72.697742633375029</v>
      </c>
      <c r="I23" s="34">
        <f>H23/H23</f>
        <v>1</v>
      </c>
    </row>
    <row r="24" spans="1:9" x14ac:dyDescent="0.25">
      <c r="A24" s="28">
        <v>110378</v>
      </c>
      <c r="B24" s="28">
        <v>30</v>
      </c>
      <c r="C24" s="29" t="s">
        <v>61</v>
      </c>
      <c r="D24" s="29" t="s">
        <v>8</v>
      </c>
      <c r="E24" s="35">
        <v>0.51</v>
      </c>
      <c r="F24" s="31">
        <v>0.38900000000000001</v>
      </c>
      <c r="G24" s="32">
        <f t="shared" ref="G24:G40" si="0">(F24/E24)*100</f>
        <v>76.274509803921575</v>
      </c>
      <c r="H24" s="33"/>
      <c r="I24" s="34"/>
    </row>
    <row r="25" spans="1:9" x14ac:dyDescent="0.25">
      <c r="A25" s="28">
        <v>110364</v>
      </c>
      <c r="B25" s="28">
        <v>31</v>
      </c>
      <c r="C25" s="29" t="s">
        <v>61</v>
      </c>
      <c r="D25" s="29" t="s">
        <v>62</v>
      </c>
      <c r="E25" s="35">
        <v>0.626</v>
      </c>
      <c r="F25" s="31">
        <v>0.39600000000000002</v>
      </c>
      <c r="G25" s="32">
        <f t="shared" si="0"/>
        <v>63.258785942492011</v>
      </c>
      <c r="H25" s="33"/>
      <c r="I25" s="34"/>
    </row>
    <row r="26" spans="1:9" ht="15.75" thickBot="1" x14ac:dyDescent="0.3">
      <c r="A26" s="36">
        <v>110365</v>
      </c>
      <c r="B26" s="36">
        <v>32</v>
      </c>
      <c r="C26" s="37" t="s">
        <v>61</v>
      </c>
      <c r="D26" s="37" t="s">
        <v>9</v>
      </c>
      <c r="E26" s="38">
        <v>0.56100000000000005</v>
      </c>
      <c r="F26" s="39">
        <v>0.433</v>
      </c>
      <c r="G26" s="40">
        <f t="shared" si="0"/>
        <v>77.183600713012467</v>
      </c>
      <c r="H26" s="41"/>
      <c r="I26" s="42"/>
    </row>
    <row r="27" spans="1:9" x14ac:dyDescent="0.25">
      <c r="A27" s="28">
        <v>110363</v>
      </c>
      <c r="B27" s="28">
        <v>28</v>
      </c>
      <c r="C27" s="29" t="s">
        <v>63</v>
      </c>
      <c r="D27" s="29" t="s">
        <v>11</v>
      </c>
      <c r="E27" s="20">
        <v>0.53100000000000003</v>
      </c>
      <c r="F27" s="18">
        <v>0.42699999999999999</v>
      </c>
      <c r="G27" s="32">
        <f t="shared" si="0"/>
        <v>80.41431261770245</v>
      </c>
      <c r="H27" s="33">
        <f>AVERAGE(G27:G30)</f>
        <v>75.793343220063676</v>
      </c>
      <c r="I27" s="34">
        <f>H27/H23</f>
        <v>1.0425817979287224</v>
      </c>
    </row>
    <row r="28" spans="1:9" x14ac:dyDescent="0.25">
      <c r="A28" s="28">
        <v>110369</v>
      </c>
      <c r="B28" s="28">
        <v>38</v>
      </c>
      <c r="C28" s="29" t="s">
        <v>63</v>
      </c>
      <c r="D28" s="29" t="s">
        <v>12</v>
      </c>
      <c r="E28" s="35">
        <v>0.501</v>
      </c>
      <c r="F28" s="31">
        <v>0.378</v>
      </c>
      <c r="G28" s="32">
        <f t="shared" si="0"/>
        <v>75.449101796407177</v>
      </c>
      <c r="H28" s="33"/>
      <c r="I28" s="34"/>
    </row>
    <row r="29" spans="1:9" x14ac:dyDescent="0.25">
      <c r="A29" s="28">
        <v>110368</v>
      </c>
      <c r="B29" s="28">
        <v>40</v>
      </c>
      <c r="C29" s="29" t="s">
        <v>63</v>
      </c>
      <c r="D29" s="29" t="s">
        <v>13</v>
      </c>
      <c r="E29" s="20">
        <v>0.71399999999999997</v>
      </c>
      <c r="F29" s="18">
        <v>0.51600000000000001</v>
      </c>
      <c r="G29" s="32">
        <f t="shared" si="0"/>
        <v>72.268907563025223</v>
      </c>
      <c r="H29" s="33"/>
      <c r="I29" s="34"/>
    </row>
    <row r="30" spans="1:9" ht="15.75" thickBot="1" x14ac:dyDescent="0.3">
      <c r="A30" s="36">
        <v>110367</v>
      </c>
      <c r="B30" s="36">
        <v>41</v>
      </c>
      <c r="C30" s="37" t="s">
        <v>63</v>
      </c>
      <c r="D30" s="37" t="s">
        <v>14</v>
      </c>
      <c r="E30" s="43">
        <v>0.60899999999999999</v>
      </c>
      <c r="F30" s="44">
        <v>0.45700000000000002</v>
      </c>
      <c r="G30" s="40">
        <f t="shared" si="0"/>
        <v>75.041050903119881</v>
      </c>
      <c r="H30" s="41"/>
      <c r="I30" s="42"/>
    </row>
    <row r="31" spans="1:9" x14ac:dyDescent="0.25">
      <c r="A31" s="28">
        <v>110347</v>
      </c>
      <c r="B31" s="28">
        <v>36</v>
      </c>
      <c r="C31" s="29" t="s">
        <v>67</v>
      </c>
      <c r="D31" s="29" t="s">
        <v>17</v>
      </c>
      <c r="E31" s="35">
        <v>0.499</v>
      </c>
      <c r="F31" s="31">
        <v>0.26900000000000002</v>
      </c>
      <c r="G31" s="32">
        <f t="shared" si="0"/>
        <v>53.907815631262523</v>
      </c>
      <c r="H31" s="33">
        <f>AVERAGE(G31:G36)</f>
        <v>45.572562694775797</v>
      </c>
      <c r="I31" s="34">
        <f>H31/H23</f>
        <v>0.62687727354348066</v>
      </c>
    </row>
    <row r="32" spans="1:9" x14ac:dyDescent="0.25">
      <c r="A32" s="28">
        <v>110349</v>
      </c>
      <c r="B32" s="28">
        <v>37</v>
      </c>
      <c r="C32" s="29" t="s">
        <v>67</v>
      </c>
      <c r="D32" s="29" t="s">
        <v>26</v>
      </c>
      <c r="E32" s="35">
        <v>0.52900000000000003</v>
      </c>
      <c r="F32" s="31">
        <v>0.39500000000000002</v>
      </c>
      <c r="G32" s="32">
        <f t="shared" si="0"/>
        <v>74.669187145557657</v>
      </c>
      <c r="H32" s="33"/>
      <c r="I32" s="34"/>
    </row>
    <row r="33" spans="1:9" x14ac:dyDescent="0.25">
      <c r="A33" s="28">
        <v>110348</v>
      </c>
      <c r="B33" s="28">
        <v>39</v>
      </c>
      <c r="C33" s="29" t="s">
        <v>67</v>
      </c>
      <c r="D33" s="29" t="s">
        <v>16</v>
      </c>
      <c r="E33" s="35">
        <v>0.47199999999999998</v>
      </c>
      <c r="F33" s="31">
        <v>0.24299999999999999</v>
      </c>
      <c r="G33" s="32">
        <f t="shared" si="0"/>
        <v>51.483050847457626</v>
      </c>
      <c r="H33" s="33"/>
      <c r="I33" s="34"/>
    </row>
    <row r="34" spans="1:9" x14ac:dyDescent="0.25">
      <c r="A34" s="28">
        <v>110351</v>
      </c>
      <c r="B34" s="28">
        <v>42</v>
      </c>
      <c r="C34" s="29" t="s">
        <v>67</v>
      </c>
      <c r="D34" s="29" t="s">
        <v>18</v>
      </c>
      <c r="E34" s="35">
        <v>0.34899999999999998</v>
      </c>
      <c r="F34" s="31">
        <v>8.5999999999999993E-2</v>
      </c>
      <c r="G34" s="32">
        <f t="shared" si="0"/>
        <v>24.641833810888254</v>
      </c>
      <c r="H34" s="33"/>
      <c r="I34" s="34"/>
    </row>
    <row r="35" spans="1:9" x14ac:dyDescent="0.25">
      <c r="A35" s="28">
        <v>110352</v>
      </c>
      <c r="B35" s="28">
        <v>43</v>
      </c>
      <c r="C35" s="29" t="s">
        <v>67</v>
      </c>
      <c r="D35" s="29" t="s">
        <v>27</v>
      </c>
      <c r="E35" s="45">
        <v>0.495</v>
      </c>
      <c r="F35" s="46">
        <v>0.22600000000000001</v>
      </c>
      <c r="G35" s="32">
        <f t="shared" si="0"/>
        <v>45.656565656565654</v>
      </c>
      <c r="H35" s="33"/>
      <c r="I35" s="34"/>
    </row>
    <row r="36" spans="1:9" ht="15.75" thickBot="1" x14ac:dyDescent="0.3">
      <c r="A36" s="36">
        <v>110350</v>
      </c>
      <c r="B36" s="36">
        <v>44</v>
      </c>
      <c r="C36" s="37" t="s">
        <v>67</v>
      </c>
      <c r="D36" s="37" t="s">
        <v>19</v>
      </c>
      <c r="E36" s="47">
        <v>0.41599999999999998</v>
      </c>
      <c r="F36" s="48">
        <v>9.6000000000000002E-2</v>
      </c>
      <c r="G36" s="40">
        <f t="shared" si="0"/>
        <v>23.076923076923077</v>
      </c>
      <c r="H36" s="41"/>
      <c r="I36" s="42"/>
    </row>
    <row r="37" spans="1:9" x14ac:dyDescent="0.25">
      <c r="A37" s="28">
        <v>110373</v>
      </c>
      <c r="B37" s="28">
        <v>33</v>
      </c>
      <c r="C37" s="29" t="s">
        <v>68</v>
      </c>
      <c r="D37" s="29" t="s">
        <v>20</v>
      </c>
      <c r="E37" s="45">
        <v>0.59299999999999997</v>
      </c>
      <c r="F37" s="46">
        <v>0.32800000000000001</v>
      </c>
      <c r="G37" s="32">
        <f t="shared" si="0"/>
        <v>55.31197301854975</v>
      </c>
      <c r="H37" s="49">
        <f>AVERAGE(G37:G40)</f>
        <v>60.116459013537337</v>
      </c>
      <c r="I37" s="34">
        <f>H37/H23</f>
        <v>0.82693707996839905</v>
      </c>
    </row>
    <row r="38" spans="1:9" x14ac:dyDescent="0.25">
      <c r="A38" s="28">
        <v>110371</v>
      </c>
      <c r="B38" s="28">
        <v>34</v>
      </c>
      <c r="C38" s="29" t="s">
        <v>68</v>
      </c>
      <c r="D38" s="29" t="s">
        <v>21</v>
      </c>
      <c r="E38" s="35">
        <v>0.75900000000000001</v>
      </c>
      <c r="F38" s="31">
        <v>0.59799999999999998</v>
      </c>
      <c r="G38" s="32">
        <f t="shared" si="0"/>
        <v>78.787878787878782</v>
      </c>
      <c r="H38" s="18"/>
      <c r="I38" s="34"/>
    </row>
    <row r="39" spans="1:9" ht="18" x14ac:dyDescent="0.25">
      <c r="A39" s="28">
        <v>110372</v>
      </c>
      <c r="B39" s="28">
        <v>35</v>
      </c>
      <c r="C39" s="29" t="s">
        <v>68</v>
      </c>
      <c r="D39" s="29" t="s">
        <v>47</v>
      </c>
      <c r="E39" s="20">
        <v>0.501</v>
      </c>
      <c r="F39" s="18">
        <v>0.224</v>
      </c>
      <c r="G39" s="32">
        <f t="shared" si="0"/>
        <v>44.710578842315371</v>
      </c>
      <c r="H39" s="23"/>
      <c r="I39" s="34"/>
    </row>
    <row r="40" spans="1:9" ht="15.75" thickBot="1" x14ac:dyDescent="0.3">
      <c r="A40" s="36">
        <v>110356</v>
      </c>
      <c r="B40" s="36">
        <v>45</v>
      </c>
      <c r="C40" s="37" t="s">
        <v>68</v>
      </c>
      <c r="D40" s="37" t="s">
        <v>23</v>
      </c>
      <c r="E40" s="47">
        <v>0.59199999999999997</v>
      </c>
      <c r="F40" s="48">
        <v>0.36499999999999999</v>
      </c>
      <c r="G40" s="40">
        <f t="shared" si="0"/>
        <v>61.655405405405403</v>
      </c>
      <c r="H40" s="50"/>
      <c r="I40" s="51"/>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4B539-7C5A-4751-8CFA-47E590C58A91}">
  <dimension ref="A1:M58"/>
  <sheetViews>
    <sheetView workbookViewId="0">
      <selection activeCell="Q24" sqref="Q24"/>
    </sheetView>
  </sheetViews>
  <sheetFormatPr baseColWidth="10" defaultRowHeight="15" x14ac:dyDescent="0.25"/>
  <cols>
    <col min="2" max="2" width="14.28515625" customWidth="1"/>
  </cols>
  <sheetData>
    <row r="1" spans="1:7" x14ac:dyDescent="0.25">
      <c r="A1" s="1" t="s">
        <v>50</v>
      </c>
      <c r="F1" s="106"/>
      <c r="G1" s="106"/>
    </row>
    <row r="3" spans="1:7" x14ac:dyDescent="0.25">
      <c r="A3" s="1" t="s">
        <v>2</v>
      </c>
    </row>
    <row r="4" spans="1:7" x14ac:dyDescent="0.25">
      <c r="A4" s="6" t="s">
        <v>124</v>
      </c>
    </row>
    <row r="5" spans="1:7" x14ac:dyDescent="0.25">
      <c r="A5" s="6" t="s">
        <v>51</v>
      </c>
    </row>
    <row r="6" spans="1:7" x14ac:dyDescent="0.25">
      <c r="A6" s="1"/>
    </row>
    <row r="7" spans="1:7" x14ac:dyDescent="0.25">
      <c r="A7" s="1" t="s">
        <v>3</v>
      </c>
    </row>
    <row r="9" spans="1:7" x14ac:dyDescent="0.25">
      <c r="A9" t="s">
        <v>33</v>
      </c>
    </row>
    <row r="10" spans="1:7" x14ac:dyDescent="0.25">
      <c r="A10" t="s">
        <v>30</v>
      </c>
    </row>
    <row r="12" spans="1:7" x14ac:dyDescent="0.25">
      <c r="A12" t="s">
        <v>34</v>
      </c>
    </row>
    <row r="13" spans="1:7" x14ac:dyDescent="0.25">
      <c r="A13" t="s">
        <v>28</v>
      </c>
    </row>
    <row r="14" spans="1:7" x14ac:dyDescent="0.25">
      <c r="A14" t="s">
        <v>48</v>
      </c>
    </row>
    <row r="15" spans="1:7" x14ac:dyDescent="0.25">
      <c r="A15" t="s">
        <v>49</v>
      </c>
    </row>
    <row r="16" spans="1:7" x14ac:dyDescent="0.25">
      <c r="A16" t="s">
        <v>32</v>
      </c>
    </row>
    <row r="17" spans="1:13" x14ac:dyDescent="0.25">
      <c r="H17" s="8"/>
      <c r="I17" s="9"/>
      <c r="J17" s="9"/>
      <c r="K17" s="9"/>
      <c r="L17" s="10"/>
      <c r="M17" s="11"/>
    </row>
    <row r="18" spans="1:13" ht="18.75" thickBot="1" x14ac:dyDescent="0.4">
      <c r="A18" s="1" t="s">
        <v>6</v>
      </c>
      <c r="B18" s="1" t="s">
        <v>101</v>
      </c>
      <c r="C18" s="1" t="s">
        <v>100</v>
      </c>
      <c r="H18" s="8"/>
      <c r="I18" s="9"/>
      <c r="J18" s="9"/>
      <c r="K18" s="9"/>
      <c r="L18" s="10"/>
      <c r="M18" s="8"/>
    </row>
    <row r="19" spans="1:13" x14ac:dyDescent="0.25">
      <c r="A19" s="146" t="s">
        <v>7</v>
      </c>
      <c r="B19" s="94">
        <v>94</v>
      </c>
      <c r="C19" s="95">
        <f>AVERAGE(B19:B22)</f>
        <v>90.25</v>
      </c>
      <c r="H19" s="8"/>
      <c r="I19" s="9"/>
      <c r="J19" s="9"/>
      <c r="K19" s="9"/>
      <c r="L19" s="10"/>
      <c r="M19" s="12"/>
    </row>
    <row r="20" spans="1:13" x14ac:dyDescent="0.25">
      <c r="A20" s="147" t="s">
        <v>8</v>
      </c>
      <c r="B20" s="79">
        <v>84</v>
      </c>
      <c r="C20" s="97"/>
      <c r="H20" s="8"/>
      <c r="I20" s="9"/>
      <c r="J20" s="8"/>
      <c r="K20" s="9"/>
      <c r="L20" s="10"/>
      <c r="M20" s="12"/>
    </row>
    <row r="21" spans="1:13" x14ac:dyDescent="0.25">
      <c r="A21" s="147" t="s">
        <v>9</v>
      </c>
      <c r="B21" s="79">
        <v>92</v>
      </c>
      <c r="C21" s="97"/>
      <c r="H21" s="8"/>
      <c r="I21" s="9"/>
      <c r="J21" s="9"/>
      <c r="K21" s="9"/>
      <c r="L21" s="10"/>
      <c r="M21" s="12"/>
    </row>
    <row r="22" spans="1:13" ht="15.75" thickBot="1" x14ac:dyDescent="0.3">
      <c r="A22" s="148" t="s">
        <v>10</v>
      </c>
      <c r="B22" s="150">
        <v>91</v>
      </c>
      <c r="C22" s="139"/>
      <c r="H22" s="8"/>
      <c r="I22" s="9"/>
      <c r="J22" s="9"/>
      <c r="K22" s="9"/>
      <c r="L22" s="10"/>
      <c r="M22" s="12"/>
    </row>
    <row r="23" spans="1:13" ht="15.75" thickBot="1" x14ac:dyDescent="0.3">
      <c r="H23" s="8"/>
      <c r="I23" s="9"/>
      <c r="J23" s="8"/>
      <c r="K23" s="9"/>
      <c r="L23" s="10"/>
      <c r="M23" s="12"/>
    </row>
    <row r="24" spans="1:13" x14ac:dyDescent="0.25">
      <c r="A24" s="146" t="s">
        <v>11</v>
      </c>
      <c r="B24" s="94">
        <v>91</v>
      </c>
      <c r="C24" s="95">
        <f>AVERAGE(B24:B27)</f>
        <v>91.5</v>
      </c>
      <c r="H24" s="8"/>
      <c r="I24" s="9"/>
      <c r="J24" s="8"/>
      <c r="K24" s="9"/>
      <c r="L24" s="10"/>
      <c r="M24" s="12"/>
    </row>
    <row r="25" spans="1:13" x14ac:dyDescent="0.25">
      <c r="A25" s="147" t="s">
        <v>12</v>
      </c>
      <c r="B25" s="79">
        <v>91</v>
      </c>
      <c r="C25" s="97"/>
      <c r="H25" s="8"/>
      <c r="I25" s="9"/>
      <c r="J25" s="8"/>
      <c r="K25" s="9"/>
      <c r="L25" s="10"/>
      <c r="M25" s="8"/>
    </row>
    <row r="26" spans="1:13" x14ac:dyDescent="0.25">
      <c r="A26" s="147" t="s">
        <v>13</v>
      </c>
      <c r="B26" s="79">
        <v>88</v>
      </c>
      <c r="C26" s="97"/>
      <c r="H26" s="8"/>
      <c r="I26" s="9"/>
      <c r="J26" s="8"/>
      <c r="K26" s="9"/>
      <c r="L26" s="10"/>
      <c r="M26" s="8"/>
    </row>
    <row r="27" spans="1:13" ht="15.75" thickBot="1" x14ac:dyDescent="0.3">
      <c r="A27" s="148" t="s">
        <v>15</v>
      </c>
      <c r="B27" s="150">
        <v>96</v>
      </c>
      <c r="C27" s="139"/>
      <c r="H27" s="8"/>
      <c r="I27" s="9"/>
      <c r="J27" s="8"/>
      <c r="K27" s="9"/>
      <c r="L27" s="10"/>
      <c r="M27" s="8"/>
    </row>
    <row r="28" spans="1:13" ht="15.75" thickBot="1" x14ac:dyDescent="0.3">
      <c r="H28" s="8"/>
      <c r="I28" s="9"/>
      <c r="J28" s="9"/>
      <c r="K28" s="9"/>
      <c r="L28" s="10"/>
      <c r="M28" s="8"/>
    </row>
    <row r="29" spans="1:13" x14ac:dyDescent="0.25">
      <c r="A29" s="146" t="s">
        <v>16</v>
      </c>
      <c r="B29" s="94">
        <v>71</v>
      </c>
      <c r="C29" s="95">
        <f>AVERAGE(B29:B32)</f>
        <v>80.25</v>
      </c>
      <c r="H29" s="8"/>
      <c r="I29" s="9"/>
      <c r="J29" s="9"/>
      <c r="K29" s="9"/>
      <c r="L29" s="13"/>
      <c r="M29" s="8"/>
    </row>
    <row r="30" spans="1:13" x14ac:dyDescent="0.25">
      <c r="A30" s="147" t="s">
        <v>17</v>
      </c>
      <c r="B30" s="79">
        <v>89</v>
      </c>
      <c r="C30" s="97"/>
      <c r="H30" s="8"/>
      <c r="I30" s="9"/>
      <c r="J30" s="9"/>
      <c r="K30" s="9"/>
      <c r="L30" s="13"/>
      <c r="M30" s="8"/>
    </row>
    <row r="31" spans="1:13" x14ac:dyDescent="0.25">
      <c r="A31" s="147" t="s">
        <v>18</v>
      </c>
      <c r="B31" s="79">
        <v>76</v>
      </c>
      <c r="C31" s="97"/>
      <c r="H31" s="8"/>
      <c r="I31" s="9"/>
      <c r="J31" s="9"/>
      <c r="K31" s="9"/>
      <c r="L31" s="13"/>
      <c r="M31" s="8"/>
    </row>
    <row r="32" spans="1:13" ht="15.75" thickBot="1" x14ac:dyDescent="0.3">
      <c r="A32" s="148" t="s">
        <v>19</v>
      </c>
      <c r="B32" s="150">
        <v>85</v>
      </c>
      <c r="C32" s="139"/>
      <c r="H32" s="8"/>
      <c r="I32" s="9"/>
      <c r="J32" s="9"/>
      <c r="K32" s="9"/>
      <c r="L32" s="13"/>
      <c r="M32" s="8"/>
    </row>
    <row r="33" spans="1:13" ht="15.75" thickBot="1" x14ac:dyDescent="0.3">
      <c r="H33" s="8"/>
      <c r="I33" s="9"/>
      <c r="J33" s="9"/>
      <c r="K33" s="9"/>
      <c r="L33" s="13"/>
      <c r="M33" s="8"/>
    </row>
    <row r="34" spans="1:13" x14ac:dyDescent="0.25">
      <c r="A34" s="146" t="s">
        <v>20</v>
      </c>
      <c r="B34" s="94">
        <v>82</v>
      </c>
      <c r="C34" s="95">
        <f>AVERAGE(B34:B39)</f>
        <v>84</v>
      </c>
      <c r="H34" s="8"/>
      <c r="I34" s="9"/>
      <c r="J34" s="9"/>
      <c r="K34" s="9"/>
      <c r="L34" s="13"/>
      <c r="M34" s="8"/>
    </row>
    <row r="35" spans="1:13" x14ac:dyDescent="0.25">
      <c r="A35" s="147" t="s">
        <v>21</v>
      </c>
      <c r="B35" s="79">
        <v>79</v>
      </c>
      <c r="C35" s="97"/>
      <c r="H35" s="8"/>
      <c r="I35" s="9"/>
      <c r="J35" s="9"/>
      <c r="K35" s="9"/>
      <c r="L35" s="13"/>
      <c r="M35" s="8"/>
    </row>
    <row r="36" spans="1:13" x14ac:dyDescent="0.25">
      <c r="A36" s="147" t="s">
        <v>47</v>
      </c>
      <c r="B36" s="79">
        <v>89</v>
      </c>
      <c r="C36" s="97"/>
      <c r="H36" s="8"/>
      <c r="I36" s="9"/>
      <c r="J36" s="9"/>
      <c r="K36" s="9"/>
      <c r="L36" s="13"/>
      <c r="M36" s="8"/>
    </row>
    <row r="37" spans="1:13" x14ac:dyDescent="0.25">
      <c r="A37" s="147" t="s">
        <v>22</v>
      </c>
      <c r="B37" s="79">
        <v>80</v>
      </c>
      <c r="C37" s="97"/>
      <c r="H37" s="8"/>
      <c r="I37" s="9"/>
      <c r="J37" s="9"/>
      <c r="K37" s="9"/>
      <c r="L37" s="13"/>
      <c r="M37" s="8"/>
    </row>
    <row r="38" spans="1:13" x14ac:dyDescent="0.25">
      <c r="A38" s="147" t="s">
        <v>23</v>
      </c>
      <c r="B38" s="79">
        <v>89</v>
      </c>
      <c r="C38" s="97"/>
      <c r="H38" s="8"/>
      <c r="I38" s="9"/>
      <c r="J38" s="9"/>
      <c r="K38" s="9"/>
      <c r="L38" s="13"/>
      <c r="M38" s="8"/>
    </row>
    <row r="39" spans="1:13" ht="15.75" thickBot="1" x14ac:dyDescent="0.3">
      <c r="A39" s="148" t="s">
        <v>24</v>
      </c>
      <c r="B39" s="150">
        <v>85</v>
      </c>
      <c r="C39" s="139"/>
      <c r="H39" s="8"/>
      <c r="I39" s="9"/>
      <c r="J39" s="9"/>
      <c r="K39" s="9"/>
      <c r="L39" s="13"/>
      <c r="M39" s="12"/>
    </row>
    <row r="40" spans="1:13" x14ac:dyDescent="0.25">
      <c r="H40" s="8"/>
      <c r="I40" s="9"/>
      <c r="J40" s="9"/>
      <c r="K40" s="9"/>
      <c r="L40" s="13"/>
      <c r="M40" s="11"/>
    </row>
    <row r="41" spans="1:13" x14ac:dyDescent="0.25">
      <c r="H41" s="8"/>
      <c r="I41" s="9"/>
      <c r="J41" s="9"/>
      <c r="K41" s="9"/>
      <c r="L41" s="13"/>
      <c r="M41" s="8"/>
    </row>
    <row r="42" spans="1:13" x14ac:dyDescent="0.25">
      <c r="H42" s="8"/>
      <c r="I42" s="9"/>
      <c r="J42" s="9"/>
      <c r="K42" s="9"/>
      <c r="L42" s="13"/>
      <c r="M42" s="8"/>
    </row>
    <row r="43" spans="1:13" x14ac:dyDescent="0.25">
      <c r="H43" s="8"/>
      <c r="I43" s="9"/>
      <c r="J43" s="9"/>
      <c r="K43" s="9"/>
      <c r="L43" s="13"/>
      <c r="M43" s="8"/>
    </row>
    <row r="44" spans="1:13" x14ac:dyDescent="0.25">
      <c r="H44" s="8"/>
      <c r="I44" s="9"/>
      <c r="J44" s="9"/>
      <c r="K44" s="9"/>
      <c r="L44" s="13"/>
      <c r="M44" s="8"/>
    </row>
    <row r="45" spans="1:13" x14ac:dyDescent="0.25">
      <c r="H45" s="8"/>
      <c r="I45" s="9"/>
      <c r="J45" s="9"/>
      <c r="K45" s="9"/>
      <c r="L45" s="13"/>
      <c r="M45" s="8"/>
    </row>
    <row r="46" spans="1:13" x14ac:dyDescent="0.25">
      <c r="H46" s="8"/>
      <c r="I46" s="9"/>
      <c r="J46" s="9"/>
      <c r="K46" s="9"/>
      <c r="L46" s="13"/>
      <c r="M46" s="8"/>
    </row>
    <row r="47" spans="1:13" x14ac:dyDescent="0.25">
      <c r="H47" s="8"/>
      <c r="I47" s="9"/>
      <c r="J47" s="9"/>
      <c r="K47" s="9"/>
      <c r="L47" s="13"/>
      <c r="M47" s="12"/>
    </row>
    <row r="48" spans="1:13" x14ac:dyDescent="0.25">
      <c r="H48" s="8"/>
      <c r="I48" s="9"/>
      <c r="J48" s="9"/>
      <c r="K48" s="9"/>
      <c r="L48" s="13"/>
      <c r="M48" s="14"/>
    </row>
    <row r="49" spans="8:13" x14ac:dyDescent="0.25">
      <c r="H49" s="8"/>
      <c r="I49" s="9"/>
      <c r="J49" s="9"/>
      <c r="K49" s="9"/>
      <c r="L49" s="13"/>
      <c r="M49" s="8"/>
    </row>
    <row r="50" spans="8:13" x14ac:dyDescent="0.25">
      <c r="H50" s="8"/>
      <c r="I50" s="9"/>
      <c r="J50" s="15"/>
      <c r="K50" s="9"/>
      <c r="L50" s="13"/>
      <c r="M50" s="8"/>
    </row>
    <row r="51" spans="8:13" x14ac:dyDescent="0.25">
      <c r="H51" s="8"/>
      <c r="I51" s="9"/>
      <c r="J51" s="15"/>
      <c r="K51" s="9"/>
      <c r="L51" s="13"/>
      <c r="M51" s="8"/>
    </row>
    <row r="52" spans="8:13" x14ac:dyDescent="0.25">
      <c r="H52" s="8"/>
      <c r="I52" s="9"/>
      <c r="J52" s="15"/>
      <c r="K52" s="9"/>
      <c r="L52" s="13"/>
      <c r="M52" s="8"/>
    </row>
    <row r="53" spans="8:13" x14ac:dyDescent="0.25">
      <c r="H53" s="8"/>
      <c r="I53" s="9"/>
      <c r="J53" s="9"/>
      <c r="K53" s="9"/>
      <c r="L53" s="13"/>
      <c r="M53" s="8"/>
    </row>
    <row r="54" spans="8:13" x14ac:dyDescent="0.25">
      <c r="H54" s="8"/>
      <c r="I54" s="9"/>
      <c r="J54" s="15"/>
      <c r="K54" s="9"/>
      <c r="L54" s="13"/>
      <c r="M54" s="8"/>
    </row>
    <row r="55" spans="8:13" x14ac:dyDescent="0.25">
      <c r="H55" s="8"/>
      <c r="I55" s="9"/>
      <c r="J55" s="15"/>
      <c r="K55" s="9"/>
      <c r="L55" s="13"/>
      <c r="M55" s="8"/>
    </row>
    <row r="56" spans="8:13" x14ac:dyDescent="0.25">
      <c r="H56" s="8"/>
      <c r="I56" s="8"/>
      <c r="J56" s="8"/>
      <c r="K56" s="8"/>
      <c r="L56" s="8"/>
      <c r="M56" s="8"/>
    </row>
    <row r="57" spans="8:13" x14ac:dyDescent="0.25">
      <c r="H57" s="8"/>
      <c r="I57" s="8"/>
      <c r="J57" s="8"/>
      <c r="K57" s="8"/>
      <c r="L57" s="8"/>
      <c r="M57" s="8"/>
    </row>
    <row r="58" spans="8:13" x14ac:dyDescent="0.25">
      <c r="H58" s="8"/>
      <c r="I58" s="8"/>
      <c r="J58" s="8"/>
      <c r="K58" s="8"/>
      <c r="L58" s="8"/>
      <c r="M58" s="8"/>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Ashcroft</vt:lpstr>
      <vt:lpstr>qPCR</vt:lpstr>
      <vt:lpstr>WB</vt:lpstr>
      <vt:lpstr>FACS</vt:lpstr>
      <vt:lpstr>CT</vt:lpstr>
      <vt:lpstr>O2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Lena Gockeln</dc:creator>
  <cp:lastModifiedBy>Lena Gockeln</cp:lastModifiedBy>
  <dcterms:created xsi:type="dcterms:W3CDTF">2022-04-08T09:54:09Z</dcterms:created>
  <dcterms:modified xsi:type="dcterms:W3CDTF">2022-04-12T14:29:22Z</dcterms:modified>
</cp:coreProperties>
</file>